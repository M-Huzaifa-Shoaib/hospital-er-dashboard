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Download\PR file excel\excel project\"/>
    </mc:Choice>
  </mc:AlternateContent>
  <xr:revisionPtr revIDLastSave="0" documentId="13_ncr:1_{B2532A24-7500-42EA-A624-418BFCF49634}" xr6:coauthVersionLast="47" xr6:coauthVersionMax="47" xr10:uidLastSave="{00000000-0000-0000-0000-000000000000}"/>
  <bookViews>
    <workbookView xWindow="-120" yWindow="-120" windowWidth="38640" windowHeight="21120" activeTab="1" xr2:uid="{9D0EF5E2-7578-4BDC-8784-2362A4C7004A}"/>
  </bookViews>
  <sheets>
    <sheet name="Sheet1" sheetId="1" r:id="rId1"/>
    <sheet name="Dashboard" sheetId="2" r:id="rId2"/>
    <sheet name="Satisfaction Score" sheetId="5" r:id="rId3"/>
    <sheet name="Daily Patient Admission Analysi" sheetId="3" r:id="rId4"/>
    <sheet name="Avg Wait Time" sheetId="6" r:id="rId5"/>
  </sheets>
  <definedNames>
    <definedName name="Slicer_Date__Month">#N/A</definedName>
    <definedName name="Slicer_Date__Year">#N/A</definedName>
  </definedNames>
  <calcPr calcId="191029"/>
  <pivotCaches>
    <pivotCache cacheId="3035" r:id="rId6"/>
    <pivotCache cacheId="3038" r:id="rId7"/>
    <pivotCache cacheId="3041" r:id="rId8"/>
    <pivotCache cacheId="3044" r:id="rId9"/>
    <pivotCache cacheId="3047" r:id="rId10"/>
    <pivotCache cacheId="3050" r:id="rId11"/>
    <pivotCache cacheId="3053" r:id="rId12"/>
    <pivotCache cacheId="3056" r:id="rId13"/>
    <pivotCache cacheId="3059" r:id="rId14"/>
    <pivotCache cacheId="3062" r:id="rId15"/>
    <pivotCache cacheId="3065" r:id="rId16"/>
    <pivotCache cacheId="3068" r:id="rId17"/>
  </pivotCaches>
  <extLst>
    <ext xmlns:x14="http://schemas.microsoft.com/office/spreadsheetml/2009/9/main" uri="{876F7934-8845-4945-9796-88D515C7AA90}">
      <x14:pivotCaches>
        <pivotCache cacheId="128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4ec4f40-814f-4218-9804-ae1a6565ca61" name="Hospital Emergency Room Data" connection="Query - Hospital Emergency Room Data"/>
          <x15:modelTable id="Query1_a22cc495-de0d-4826-a404-bc8d847e028d" name="Query1" connection="Query - Calendar_Table"/>
        </x15:modelTables>
        <x15:modelRelationships>
          <x15:modelRelationship fromTable="Hospital Emergency Room Data" fromColumn="Patient Admission Date" toTable="Query1" toColumn="Date"/>
        </x15:modelRelationships>
        <x15:extLst>
          <ext xmlns:x16="http://schemas.microsoft.com/office/spreadsheetml/2014/11/main" uri="{9835A34E-60A6-4A7C-AAB8-D5F71C897F49}">
            <x16:modelTimeGroupings>
              <x16:modelTimeGrouping tableName="Query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5" i="1" l="1"/>
  <c r="B45" i="1"/>
  <c r="C45" i="1"/>
  <c r="B46" i="1"/>
  <c r="C46"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6C212A-C223-40BF-A2C3-341A95D421FE}" name="Query - Calendar_Table" description="Connection to the 'Calendar_Table' query in the workbook." type="100" refreshedVersion="8" minRefreshableVersion="5">
    <extLst>
      <ext xmlns:x15="http://schemas.microsoft.com/office/spreadsheetml/2010/11/main" uri="{DE250136-89BD-433C-8126-D09CA5730AF9}">
        <x15:connection id="e5181bdd-7ce3-4cbd-a84e-2c193b3d7548">
          <x15:oledbPr connection="Provider=Microsoft.Mashup.OleDb.1;Data Source=$Workbook$;Location=Calendar_Table;Extended Properties=&quot;&quot;">
            <x15:dbTables>
              <x15:dbTable name="Calendar_Table"/>
            </x15:dbTables>
          </x15:oledbPr>
        </x15:connection>
      </ext>
    </extLst>
  </connection>
  <connection id="2" xr16:uid="{27C18208-9880-4EFD-B6CD-97B6996C263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99770db-b69c-4322-bb55-cd22d11a6b9d">
          <x15:oledbPr connection="Provider=Microsoft.Mashup.OleDb.1;Data Source=$Workbook$;Location=&quot;Hospital Emergency Room Data&quot;;Extended Properties=&quot;&quot;">
            <x15:dbTables>
              <x15:dbTable name="Hospital Emergency Room Data"/>
            </x15:dbTables>
          </x15:oledbPr>
        </x15:connection>
      </ext>
    </extLst>
  </connection>
  <connection id="3" xr16:uid="{E0303190-B8C9-4F83-A248-BDCEE13BB2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<sst xmlns="http://schemas.openxmlformats.org/spreadsheetml/2006/main" count="149" uniqueCount="67">
  <si>
    <t>Count of Patient Id</t>
  </si>
  <si>
    <t>Average of Patient Waittime</t>
  </si>
  <si>
    <t>Average of Patient Satisfaction Score</t>
  </si>
  <si>
    <t>Row Labels</t>
  </si>
  <si>
    <t>Grand Total</t>
  </si>
  <si>
    <t>2023</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</si>
  <si>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</si>
  <si>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</si>
  <si>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</si>
  <si>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</si>
  <si>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</si>
  <si>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</si>
  <si>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</si>
  <si>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</si>
  <si>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</si>
  <si>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</si>
  <si>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</si>
  <si>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</si>
  <si>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</si>
  <si>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</si>
  <si>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</si>
  <si>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</si>
  <si>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</si>
  <si>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</si>
  <si>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</si>
  <si>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</si>
  <si>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</si>
  <si>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</si>
  <si>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</si>
  <si>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</si>
  <si>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</si>
  <si>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</si>
  <si>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</si>
  <si>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</si>
  <si>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</si>
  <si>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</si>
  <si>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</si>
  <si>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Admitted</t>
  </si>
  <si>
    <t>Not Admitted</t>
  </si>
  <si>
    <t>Count of Patient Admission Flag</t>
  </si>
  <si>
    <t>Count of Patient Admission Flag2</t>
  </si>
  <si>
    <t>Patient Status</t>
  </si>
  <si>
    <t>No of Patients</t>
  </si>
  <si>
    <t>% of Patients admitted</t>
  </si>
  <si>
    <t>00-09</t>
  </si>
  <si>
    <t>10-19</t>
  </si>
  <si>
    <t>20-29</t>
  </si>
  <si>
    <t>30-39</t>
  </si>
  <si>
    <t>40-49</t>
  </si>
  <si>
    <t>50-59</t>
  </si>
  <si>
    <t>60-69</t>
  </si>
  <si>
    <t>70 above</t>
  </si>
  <si>
    <t>Count of Age Group</t>
  </si>
  <si>
    <t>None</t>
  </si>
  <si>
    <t>General Practice</t>
  </si>
  <si>
    <t>Neurology</t>
  </si>
  <si>
    <t>Orthopedics</t>
  </si>
  <si>
    <t>Physiotherapy</t>
  </si>
  <si>
    <t>Gastroenterology</t>
  </si>
  <si>
    <t>Renal</t>
  </si>
  <si>
    <t>Cardiology</t>
  </si>
  <si>
    <t>Delayed</t>
  </si>
  <si>
    <t>On-Time</t>
  </si>
  <si>
    <t>Count of Calculated Column 1</t>
  </si>
  <si>
    <t>Female</t>
  </si>
  <si>
    <t>Male</t>
  </si>
  <si>
    <t>Count of Patient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</si>
</sst>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22"/>
      <color theme="0"/>
      <name val="Arial Black"/>
      <family val="2"/>
    </font>
  </fonts>
  <fills count="4">
    <fill>
      <patternFill patternType="none"/>
    </fill>
    <fill>
      <patternFill patternType="gray125"/>
    </fill>
    <fill>
      <patternFill patternType="solid">
        <fgColor theme="1" tint="0.249977111117893"/>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0" fontId="0" fillId="0" borderId="0" xfId="0" applyAlignment="1">
      <alignment horizontal="center" vertical="center"/>
    </xf>
    <xf numFmtId="1" fontId="0" fillId="0" borderId="0" xfId="0" applyNumberFormat="1"/>
    <xf numFmtId="0" fontId="1" fillId="3" borderId="0" xfId="0" applyFont="1" applyFill="1" applyAlignment="1">
      <alignment horizontal="center" vertical="center"/>
    </xf>
    <xf numFmtId="10" fontId="1" fillId="3" borderId="0" xfId="0" applyNumberFormat="1" applyFont="1" applyFill="1" applyAlignment="1">
      <alignment horizontal="center" vertical="center"/>
    </xf>
  </cellXfs>
  <cellStyles count="1">
    <cellStyle name="Normal" xfId="0" builtinId="0"/>
  </cellStyles>
  <dxfs count="253">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font>
        <b/>
        <color theme="1"/>
      </font>
      <border>
        <bottom style="thin">
          <color theme="4"/>
        </bottom>
        <vertical/>
        <horizontal/>
      </border>
    </dxf>
    <dxf>
      <font>
        <b val="0"/>
        <i val="0"/>
        <sz val="18"/>
        <color theme="1"/>
        <name val="Arial Black"/>
        <family val="2"/>
        <scheme val="none"/>
      </font>
      <fill>
        <patternFill patternType="solid">
          <bgColor theme="1"/>
        </pattern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SlicerStyleLight1 2" pivot="0" table="0" count="10" xr9:uid="{59AE1D96-B64E-4A2A-9DBF-F58B33D38DEA}">
      <tableStyleElement type="wholeTable" dxfId="61"/>
      <tableStyleElement type="headerRow" dxfId="60"/>
    </tableStyle>
  </tableStyles>
  <colors>
    <mruColors>
      <color rgb="FFA32929"/>
      <color rgb="FF9E0000"/>
      <color rgb="FF7A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patternFill patternType="solid">
              <fgColor auto="1"/>
              <bgColor theme="3" tint="0.89996032593768116"/>
            </patternFill>
          </fill>
          <border diagonalUp="0" diagonalDown="0">
            <left/>
            <right/>
            <top/>
            <bottom/>
            <vertical/>
            <horizontal/>
          </border>
        </dxf>
        <dxf>
          <font>
            <color rgb="FF000000"/>
          </font>
          <fill>
            <patternFill patternType="solid">
              <fgColor auto="1"/>
              <bgColor rgb="FFC00000"/>
            </patternFill>
          </fill>
          <border diagonalUp="0" diagonalDown="0">
            <left/>
            <right/>
            <top/>
            <bottom/>
            <vertical/>
            <horizontal/>
          </border>
        </dxf>
        <dxf>
          <font>
            <color rgb="FF828282"/>
          </font>
          <fill>
            <patternFill patternType="solid">
              <fgColor theme="4" tint="0.79995117038483843"/>
              <bgColor theme="1"/>
            </patternFill>
          </fill>
          <border diagonalUp="0" diagonalDown="0">
            <left/>
            <right/>
            <top/>
            <bottom/>
            <vertical/>
            <horizontal/>
          </border>
        </dxf>
        <dxf>
          <font>
            <color rgb="FF000000"/>
          </font>
          <fill>
            <patternFill patternType="solid">
              <fgColor theme="4" tint="0.59999389629810485"/>
              <bgColor rgb="FFFFFF00"/>
            </patternFill>
          </fill>
          <border diagonalUp="0" diagonalDown="0">
            <left/>
            <right/>
            <top/>
            <bottom/>
            <vertical/>
            <horizontal/>
          </border>
        </dxf>
        <dxf>
          <font>
            <color rgb="FF828282"/>
          </font>
          <fill>
            <patternFill patternType="solid">
              <fgColor rgb="FFFFFFFF"/>
              <bgColor theme="1"/>
            </patternFill>
          </fill>
          <border diagonalUp="0" diagonalDown="0">
            <left/>
            <right/>
            <top/>
            <bottom/>
            <vertical/>
            <horizontal/>
          </border>
        </dxf>
        <dxf>
          <font>
            <color rgb="FF000000"/>
          </font>
          <fill>
            <patternFill patternType="solid">
              <fgColor rgb="FFFFFFFF"/>
              <bgColor theme="3" tint="0.499984740745262"/>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patternFill patternType="solid">
              <fgColor auto="1"/>
              <bgColor theme="3" tint="0.89996032593768116"/>
            </patternFill>
          </fill>
          <border diagonalUp="0" diagonalDown="0">
            <left/>
            <right/>
            <top/>
            <bottom/>
            <vertical/>
            <horizontal/>
          </border>
        </dxf>
        <dxf>
          <font>
            <color rgb="FF000000"/>
          </font>
          <fill>
            <patternFill patternType="solid">
              <fgColor auto="1"/>
              <bgColor rgb="FFC00000"/>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rgb="FFFFFF00"/>
            </patternFill>
          </fill>
          <border diagonalUp="0" diagonalDown="0">
            <left/>
            <right/>
            <top/>
            <bottom/>
            <vertical/>
            <horizontal/>
          </border>
        </dxf>
        <dxf>
          <font>
            <color rgb="FF828282"/>
          </font>
          <fill>
            <patternFill patternType="solid">
              <fgColor rgb="FFFFFFFF"/>
              <bgColor theme="3" tint="0.499984740745262"/>
            </patternFill>
          </fill>
          <border diagonalUp="0" diagonalDown="0">
            <left/>
            <right/>
            <top/>
            <bottom/>
            <vertical/>
            <horizontal/>
          </border>
        </dxf>
        <dxf>
          <font>
            <color rgb="FF000000"/>
          </font>
          <fill>
            <patternFill patternType="solid">
              <fgColor rgb="FFFFFFFF"/>
              <bgColor theme="3"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Dashboard.xlsx]Sheet1!PivotTable7</c:name>
    <c:fmtId val="0"/>
  </c:pivotSource>
  <c:chart>
    <c:autoTitleDeleted val="0"/>
    <c:pivotFmts>
      <c:pivotFmt>
        <c:idx val="0"/>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0">
            <a:solidFill>
              <a:schemeClr val="tx1">
                <a:lumMod val="15000"/>
                <a:lumOff val="85000"/>
              </a:schemeClr>
            </a:solidFill>
          </a:ln>
          <a:effectLst/>
        </c:spPr>
      </c:pivotFmt>
      <c:pivotFmt>
        <c:idx val="3"/>
        <c:spPr>
          <a:solidFill>
            <a:srgbClr val="C00000"/>
          </a:solidFill>
          <a:ln w="0">
            <a:solidFill>
              <a:schemeClr val="tx1">
                <a:lumMod val="15000"/>
                <a:lumOff val="85000"/>
              </a:schemeClr>
            </a:solidFill>
          </a:ln>
          <a:effectLst/>
        </c:spPr>
      </c:pivotFmt>
    </c:pivotFmts>
    <c:plotArea>
      <c:layout>
        <c:manualLayout>
          <c:layoutTarget val="inner"/>
          <c:xMode val="edge"/>
          <c:yMode val="edge"/>
          <c:x val="0"/>
          <c:y val="9.2596237970253726E-3"/>
          <c:w val="1"/>
          <c:h val="0.8842592592592593"/>
        </c:manualLayout>
      </c:layout>
      <c:barChart>
        <c:barDir val="bar"/>
        <c:grouping val="clustered"/>
        <c:varyColors val="0"/>
        <c:ser>
          <c:idx val="0"/>
          <c:order val="0"/>
          <c:tx>
            <c:strRef>
              <c:f>Sheet1!$B$39</c:f>
              <c:strCache>
                <c:ptCount val="1"/>
                <c:pt idx="0">
                  <c:v>Count of Patient Admission Flag</c:v>
                </c:pt>
              </c:strCache>
            </c:strRef>
          </c:tx>
          <c:spPr>
            <a:solidFill>
              <a:schemeClr val="accent1"/>
            </a:solidFill>
            <a:ln w="0">
              <a:solidFill>
                <a:schemeClr val="tx1">
                  <a:lumMod val="15000"/>
                  <a:lumOff val="85000"/>
                </a:schemeClr>
              </a:solidFill>
            </a:ln>
            <a:effectLst/>
          </c:spPr>
          <c:invertIfNegative val="0"/>
          <c:dPt>
            <c:idx val="0"/>
            <c:invertIfNegative val="0"/>
            <c:bubble3D val="0"/>
            <c:spPr>
              <a:solidFill>
                <a:srgbClr val="C00000"/>
              </a:solidFill>
              <a:ln w="0">
                <a:solidFill>
                  <a:schemeClr val="tx1">
                    <a:lumMod val="15000"/>
                    <a:lumOff val="85000"/>
                  </a:schemeClr>
                </a:solidFill>
              </a:ln>
              <a:effectLst/>
            </c:spPr>
          </c:dPt>
          <c:dPt>
            <c:idx val="1"/>
            <c:invertIfNegative val="0"/>
            <c:bubble3D val="0"/>
            <c:spPr>
              <a:solidFill>
                <a:srgbClr val="C00000"/>
              </a:solidFill>
              <a:ln w="0">
                <a:solidFill>
                  <a:schemeClr val="tx1">
                    <a:lumMod val="15000"/>
                    <a:lumOff val="85000"/>
                  </a:schemeClr>
                </a:solidFill>
              </a:ln>
              <a:effectLst/>
            </c:spPr>
          </c:dPt>
          <c:cat>
            <c:strRef>
              <c:f>Sheet1!$A$40:$A$42</c:f>
              <c:strCache>
                <c:ptCount val="2"/>
                <c:pt idx="0">
                  <c:v>Admitted</c:v>
                </c:pt>
                <c:pt idx="1">
                  <c:v>Not Admitted</c:v>
                </c:pt>
              </c:strCache>
            </c:strRef>
          </c:cat>
          <c:val>
            <c:numRef>
              <c:f>Sheet1!$B$40:$B$42</c:f>
              <c:numCache>
                <c:formatCode>General</c:formatCode>
                <c:ptCount val="2"/>
                <c:pt idx="0">
                  <c:v>236</c:v>
                </c:pt>
                <c:pt idx="1">
                  <c:v>228</c:v>
                </c:pt>
              </c:numCache>
            </c:numRef>
          </c:val>
          <c:extLst>
            <c:ext xmlns:c16="http://schemas.microsoft.com/office/drawing/2014/chart" uri="{C3380CC4-5D6E-409C-BE32-E72D297353CC}">
              <c16:uniqueId val="{0000000F-C122-4B75-9142-BCA0B86479D5}"/>
            </c:ext>
          </c:extLst>
        </c:ser>
        <c:ser>
          <c:idx val="1"/>
          <c:order val="1"/>
          <c:tx>
            <c:strRef>
              <c:f>Sheet1!$C$39</c:f>
              <c:strCache>
                <c:ptCount val="1"/>
                <c:pt idx="0">
                  <c:v>Count of Patient Admission Flag2</c:v>
                </c:pt>
              </c:strCache>
            </c:strRef>
          </c:tx>
          <c:spPr>
            <a:solidFill>
              <a:schemeClr val="accent2"/>
            </a:solidFill>
            <a:ln>
              <a:noFill/>
            </a:ln>
            <a:effectLst/>
          </c:spPr>
          <c:invertIfNegative val="0"/>
          <c:cat>
            <c:strRef>
              <c:f>Sheet1!$A$40:$A$42</c:f>
              <c:strCache>
                <c:ptCount val="2"/>
                <c:pt idx="0">
                  <c:v>Admitted</c:v>
                </c:pt>
                <c:pt idx="1">
                  <c:v>Not Admitted</c:v>
                </c:pt>
              </c:strCache>
            </c:strRef>
          </c:cat>
          <c:val>
            <c:numRef>
              <c:f>Sheet1!$C$40:$C$42</c:f>
              <c:numCache>
                <c:formatCode>0.00%</c:formatCode>
                <c:ptCount val="2"/>
                <c:pt idx="0">
                  <c:v>0.50862068965517238</c:v>
                </c:pt>
                <c:pt idx="1">
                  <c:v>0.49137931034482757</c:v>
                </c:pt>
              </c:numCache>
            </c:numRef>
          </c:val>
          <c:extLst>
            <c:ext xmlns:c16="http://schemas.microsoft.com/office/drawing/2014/chart" uri="{C3380CC4-5D6E-409C-BE32-E72D297353CC}">
              <c16:uniqueId val="{00000010-C122-4B75-9142-BCA0B86479D5}"/>
            </c:ext>
          </c:extLst>
        </c:ser>
        <c:dLbls>
          <c:showLegendKey val="0"/>
          <c:showVal val="0"/>
          <c:showCatName val="0"/>
          <c:showSerName val="0"/>
          <c:showPercent val="0"/>
          <c:showBubbleSize val="0"/>
        </c:dLbls>
        <c:gapWidth val="0"/>
        <c:overlap val="5"/>
        <c:axId val="2122158784"/>
        <c:axId val="2122159744"/>
      </c:barChart>
      <c:catAx>
        <c:axId val="2122158784"/>
        <c:scaling>
          <c:orientation val="minMax"/>
        </c:scaling>
        <c:delete val="1"/>
        <c:axPos val="l"/>
        <c:numFmt formatCode="General" sourceLinked="1"/>
        <c:majorTickMark val="none"/>
        <c:minorTickMark val="none"/>
        <c:tickLblPos val="nextTo"/>
        <c:crossAx val="2122159744"/>
        <c:crosses val="autoZero"/>
        <c:auto val="1"/>
        <c:lblAlgn val="ctr"/>
        <c:lblOffset val="100"/>
        <c:noMultiLvlLbl val="0"/>
      </c:catAx>
      <c:valAx>
        <c:axId val="2122159744"/>
        <c:scaling>
          <c:orientation val="minMax"/>
        </c:scaling>
        <c:delete val="1"/>
        <c:axPos val="b"/>
        <c:numFmt formatCode="General" sourceLinked="1"/>
        <c:majorTickMark val="none"/>
        <c:minorTickMark val="none"/>
        <c:tickLblPos val="nextTo"/>
        <c:crossAx val="2122158784"/>
        <c:crosses val="autoZero"/>
        <c:crossBetween val="between"/>
      </c:valAx>
      <c:spPr>
        <a:noFill/>
        <a:ln w="0">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78993727478981E-2"/>
          <c:y val="6.613432144511347E-2"/>
          <c:w val="0.98422100627252107"/>
          <c:h val="0.93386567855488656"/>
        </c:manualLayout>
      </c:layout>
      <c:areaChart>
        <c:grouping val="standard"/>
        <c:varyColors val="0"/>
        <c:ser>
          <c:idx val="0"/>
          <c:order val="0"/>
          <c:tx>
            <c:strRef>
              <c:f>Sheet1!$E$4</c:f>
              <c:strCache>
                <c:ptCount val="1"/>
                <c:pt idx="0">
                  <c:v>Total</c:v>
                </c:pt>
              </c:strCache>
            </c:strRef>
          </c:tx>
          <c:spPr>
            <a:solidFill>
              <a:srgbClr val="C00000"/>
            </a:solidFill>
            <a:ln w="25400">
              <a:noFill/>
            </a:ln>
            <a:effectLst/>
          </c:spPr>
          <c:cat>
            <c:strRef>
              <c:f>Sheet1!$D$5:$D$36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6-DA3A-4288-B316-1EB6A88D72B9}"/>
            </c:ext>
          </c:extLst>
        </c:ser>
        <c:dLbls>
          <c:showLegendKey val="0"/>
          <c:showVal val="0"/>
          <c:showCatName val="0"/>
          <c:showSerName val="0"/>
          <c:showPercent val="0"/>
          <c:showBubbleSize val="0"/>
        </c:dLbls>
        <c:axId val="2121875696"/>
        <c:axId val="2121876176"/>
      </c:areaChart>
      <c:catAx>
        <c:axId val="2121875696"/>
        <c:scaling>
          <c:orientation val="minMax"/>
        </c:scaling>
        <c:delete val="1"/>
        <c:axPos val="b"/>
        <c:numFmt formatCode="General" sourceLinked="1"/>
        <c:majorTickMark val="out"/>
        <c:minorTickMark val="none"/>
        <c:tickLblPos val="nextTo"/>
        <c:crossAx val="2121876176"/>
        <c:crosses val="autoZero"/>
        <c:auto val="1"/>
        <c:lblAlgn val="ctr"/>
        <c:lblOffset val="100"/>
        <c:noMultiLvlLbl val="0"/>
      </c:catAx>
      <c:valAx>
        <c:axId val="2121876176"/>
        <c:scaling>
          <c:orientation val="minMax"/>
        </c:scaling>
        <c:delete val="1"/>
        <c:axPos val="l"/>
        <c:numFmt formatCode="General" sourceLinked="1"/>
        <c:majorTickMark val="none"/>
        <c:minorTickMark val="none"/>
        <c:tickLblPos val="nextTo"/>
        <c:crossAx val="2121875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333333333333E-2"/>
          <c:y val="0.21947883282193614"/>
          <c:w val="0.95416666666666672"/>
          <c:h val="0.65980780912599912"/>
        </c:manualLayout>
      </c:layout>
      <c:areaChart>
        <c:grouping val="standard"/>
        <c:varyColors val="0"/>
        <c:ser>
          <c:idx val="0"/>
          <c:order val="0"/>
          <c:tx>
            <c:strRef>
              <c:f>Sheet1!$H$4</c:f>
              <c:strCache>
                <c:ptCount val="1"/>
                <c:pt idx="0">
                  <c:v>Total</c:v>
                </c:pt>
              </c:strCache>
            </c:strRef>
          </c:tx>
          <c:spPr>
            <a:solidFill>
              <a:srgbClr val="C00000"/>
            </a:solidFill>
            <a:ln w="25400">
              <a:noFill/>
            </a:ln>
            <a:effectLst/>
          </c:spPr>
          <c:cat>
            <c:strRef>
              <c:f>Sheet1!$G$5:$G$36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Sheet1!$H$5:$H$36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6-57EC-46A3-BCB3-717BD0BC03C4}"/>
            </c:ext>
          </c:extLst>
        </c:ser>
        <c:dLbls>
          <c:showLegendKey val="0"/>
          <c:showVal val="0"/>
          <c:showCatName val="0"/>
          <c:showSerName val="0"/>
          <c:showPercent val="0"/>
          <c:showBubbleSize val="0"/>
        </c:dLbls>
        <c:axId val="2122153024"/>
        <c:axId val="2122141024"/>
      </c:areaChart>
      <c:catAx>
        <c:axId val="2122153024"/>
        <c:scaling>
          <c:orientation val="minMax"/>
        </c:scaling>
        <c:delete val="1"/>
        <c:axPos val="b"/>
        <c:numFmt formatCode="General" sourceLinked="1"/>
        <c:majorTickMark val="out"/>
        <c:minorTickMark val="none"/>
        <c:tickLblPos val="nextTo"/>
        <c:crossAx val="2122141024"/>
        <c:crosses val="autoZero"/>
        <c:auto val="1"/>
        <c:lblAlgn val="ctr"/>
        <c:lblOffset val="100"/>
        <c:noMultiLvlLbl val="0"/>
      </c:catAx>
      <c:valAx>
        <c:axId val="2122141024"/>
        <c:scaling>
          <c:orientation val="minMax"/>
        </c:scaling>
        <c:delete val="1"/>
        <c:axPos val="l"/>
        <c:numFmt formatCode="0.00" sourceLinked="1"/>
        <c:majorTickMark val="none"/>
        <c:minorTickMark val="none"/>
        <c:tickLblPos val="nextTo"/>
        <c:crossAx val="21221530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25400">
            <a:noFill/>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31328320802004E-2"/>
          <c:y val="0"/>
          <c:w val="0.95462656641604005"/>
          <c:h val="0.93637619073839551"/>
        </c:manualLayout>
      </c:layout>
      <c:areaChart>
        <c:grouping val="standard"/>
        <c:varyColors val="0"/>
        <c:ser>
          <c:idx val="0"/>
          <c:order val="0"/>
          <c:tx>
            <c:strRef>
              <c:f>Sheet1!$K$4</c:f>
              <c:strCache>
                <c:ptCount val="1"/>
                <c:pt idx="0">
                  <c:v>Total</c:v>
                </c:pt>
              </c:strCache>
            </c:strRef>
          </c:tx>
          <c:spPr>
            <a:solidFill>
              <a:srgbClr val="C00000"/>
            </a:solidFill>
            <a:ln w="25400">
              <a:noFill/>
            </a:ln>
            <a:effectLst/>
          </c:spPr>
          <c:dLbls>
            <c:delete val="1"/>
          </c:dLbls>
          <c:cat>
            <c:strRef>
              <c:f>Sheet1!$J$5:$J$36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Sheet1!$K$5:$K$36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6-2033-429E-97E7-C5042C6038BF}"/>
            </c:ext>
          </c:extLst>
        </c:ser>
        <c:dLbls>
          <c:showLegendKey val="0"/>
          <c:showVal val="1"/>
          <c:showCatName val="0"/>
          <c:showSerName val="0"/>
          <c:showPercent val="0"/>
          <c:showBubbleSize val="0"/>
        </c:dLbls>
        <c:axId val="2122164544"/>
        <c:axId val="2122165504"/>
      </c:areaChart>
      <c:catAx>
        <c:axId val="2122164544"/>
        <c:scaling>
          <c:orientation val="minMax"/>
        </c:scaling>
        <c:delete val="1"/>
        <c:axPos val="b"/>
        <c:numFmt formatCode="General" sourceLinked="1"/>
        <c:majorTickMark val="out"/>
        <c:minorTickMark val="none"/>
        <c:tickLblPos val="nextTo"/>
        <c:crossAx val="2122165504"/>
        <c:crosses val="autoZero"/>
        <c:auto val="1"/>
        <c:lblAlgn val="ctr"/>
        <c:lblOffset val="100"/>
        <c:noMultiLvlLbl val="0"/>
      </c:catAx>
      <c:valAx>
        <c:axId val="2122165504"/>
        <c:scaling>
          <c:orientation val="minMax"/>
        </c:scaling>
        <c:delete val="1"/>
        <c:axPos val="l"/>
        <c:numFmt formatCode="0.00" sourceLinked="1"/>
        <c:majorTickMark val="none"/>
        <c:minorTickMark val="none"/>
        <c:tickLblPos val="nextTo"/>
        <c:crossAx val="21221645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Dashboard.xlsx]Sheet1!PivotTable7</c:name>
    <c:fmtId val="5"/>
  </c:pivotSource>
  <c:chart>
    <c:autoTitleDeleted val="0"/>
    <c:pivotFmts>
      <c:pivotFmt>
        <c:idx val="0"/>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0">
            <a:solidFill>
              <a:schemeClr val="tx1">
                <a:lumMod val="15000"/>
                <a:lumOff val="85000"/>
              </a:schemeClr>
            </a:solidFill>
          </a:ln>
          <a:effectLst/>
        </c:spPr>
      </c:pivotFmt>
      <c:pivotFmt>
        <c:idx val="3"/>
        <c:spPr>
          <a:solidFill>
            <a:srgbClr val="C00000"/>
          </a:solidFill>
          <a:ln w="0">
            <a:solidFill>
              <a:schemeClr val="tx1">
                <a:lumMod val="15000"/>
                <a:lumOff val="85000"/>
              </a:schemeClr>
            </a:solidFill>
          </a:ln>
          <a:effectLst/>
        </c:spPr>
      </c:pivotFmt>
      <c:pivotFmt>
        <c:idx val="4"/>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w="0">
            <a:solidFill>
              <a:schemeClr val="tx1">
                <a:lumMod val="15000"/>
                <a:lumOff val="85000"/>
              </a:schemeClr>
            </a:solidFill>
          </a:ln>
          <a:effectLst/>
        </c:spPr>
      </c:pivotFmt>
      <c:pivotFmt>
        <c:idx val="6"/>
        <c:spPr>
          <a:solidFill>
            <a:srgbClr val="C00000"/>
          </a:solidFill>
          <a:ln w="0">
            <a:solidFill>
              <a:schemeClr val="tx1">
                <a:lumMod val="15000"/>
                <a:lumOff val="85000"/>
              </a:schemeClr>
            </a:soli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w="0">
            <a:noFill/>
          </a:ln>
          <a:effectLst/>
        </c:spPr>
      </c:pivotFmt>
      <c:pivotFmt>
        <c:idx val="10"/>
        <c:spPr>
          <a:solidFill>
            <a:srgbClr val="C00000"/>
          </a:solidFill>
          <a:ln w="0">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1152370052480614E-3"/>
          <c:w val="1"/>
          <c:h val="0.8842592592592593"/>
        </c:manualLayout>
      </c:layout>
      <c:barChart>
        <c:barDir val="bar"/>
        <c:grouping val="clustered"/>
        <c:varyColors val="0"/>
        <c:ser>
          <c:idx val="0"/>
          <c:order val="0"/>
          <c:tx>
            <c:strRef>
              <c:f>Sheet1!$B$39</c:f>
              <c:strCache>
                <c:ptCount val="1"/>
                <c:pt idx="0">
                  <c:v>Count of Patient Admission Flag</c:v>
                </c:pt>
              </c:strCache>
            </c:strRef>
          </c:tx>
          <c:spPr>
            <a:solidFill>
              <a:schemeClr val="accent1"/>
            </a:solidFill>
            <a:ln w="0">
              <a:noFill/>
            </a:ln>
            <a:effectLst/>
          </c:spPr>
          <c:invertIfNegative val="0"/>
          <c:dPt>
            <c:idx val="0"/>
            <c:invertIfNegative val="0"/>
            <c:bubble3D val="0"/>
            <c:spPr>
              <a:solidFill>
                <a:srgbClr val="C00000"/>
              </a:solidFill>
              <a:ln w="0">
                <a:noFill/>
              </a:ln>
              <a:effectLst/>
            </c:spPr>
          </c:dPt>
          <c:dPt>
            <c:idx val="1"/>
            <c:invertIfNegative val="0"/>
            <c:bubble3D val="0"/>
            <c:spPr>
              <a:solidFill>
                <a:srgbClr val="C00000"/>
              </a:solidFill>
              <a:ln w="0">
                <a:noFill/>
              </a:ln>
              <a:effectLst/>
            </c:spPr>
          </c:dPt>
          <c:cat>
            <c:strRef>
              <c:f>Sheet1!$A$40:$A$42</c:f>
              <c:strCache>
                <c:ptCount val="2"/>
                <c:pt idx="0">
                  <c:v>Admitted</c:v>
                </c:pt>
                <c:pt idx="1">
                  <c:v>Not Admitted</c:v>
                </c:pt>
              </c:strCache>
            </c:strRef>
          </c:cat>
          <c:val>
            <c:numRef>
              <c:f>Sheet1!$B$40:$B$42</c:f>
              <c:numCache>
                <c:formatCode>General</c:formatCode>
                <c:ptCount val="2"/>
                <c:pt idx="0">
                  <c:v>236</c:v>
                </c:pt>
                <c:pt idx="1">
                  <c:v>228</c:v>
                </c:pt>
              </c:numCache>
            </c:numRef>
          </c:val>
          <c:extLst>
            <c:ext xmlns:c16="http://schemas.microsoft.com/office/drawing/2014/chart" uri="{C3380CC4-5D6E-409C-BE32-E72D297353CC}">
              <c16:uniqueId val="{0000000F-31F1-42FC-A6D2-EEBB21D6929E}"/>
            </c:ext>
          </c:extLst>
        </c:ser>
        <c:ser>
          <c:idx val="1"/>
          <c:order val="1"/>
          <c:tx>
            <c:strRef>
              <c:f>Sheet1!$C$39</c:f>
              <c:strCache>
                <c:ptCount val="1"/>
                <c:pt idx="0">
                  <c:v>Count of Patient Admission Flag2</c:v>
                </c:pt>
              </c:strCache>
            </c:strRef>
          </c:tx>
          <c:spPr>
            <a:solidFill>
              <a:schemeClr val="accent2"/>
            </a:solidFill>
            <a:ln>
              <a:noFill/>
            </a:ln>
            <a:effectLst/>
          </c:spPr>
          <c:invertIfNegative val="0"/>
          <c:cat>
            <c:strRef>
              <c:f>Sheet1!$A$40:$A$42</c:f>
              <c:strCache>
                <c:ptCount val="2"/>
                <c:pt idx="0">
                  <c:v>Admitted</c:v>
                </c:pt>
                <c:pt idx="1">
                  <c:v>Not Admitted</c:v>
                </c:pt>
              </c:strCache>
            </c:strRef>
          </c:cat>
          <c:val>
            <c:numRef>
              <c:f>Sheet1!$C$40:$C$42</c:f>
              <c:numCache>
                <c:formatCode>0.00%</c:formatCode>
                <c:ptCount val="2"/>
                <c:pt idx="0">
                  <c:v>0.50862068965517238</c:v>
                </c:pt>
                <c:pt idx="1">
                  <c:v>0.49137931034482757</c:v>
                </c:pt>
              </c:numCache>
            </c:numRef>
          </c:val>
          <c:extLst>
            <c:ext xmlns:c16="http://schemas.microsoft.com/office/drawing/2014/chart" uri="{C3380CC4-5D6E-409C-BE32-E72D297353CC}">
              <c16:uniqueId val="{00000010-31F1-42FC-A6D2-EEBB21D6929E}"/>
            </c:ext>
          </c:extLst>
        </c:ser>
        <c:dLbls>
          <c:showLegendKey val="0"/>
          <c:showVal val="0"/>
          <c:showCatName val="0"/>
          <c:showSerName val="0"/>
          <c:showPercent val="0"/>
          <c:showBubbleSize val="0"/>
        </c:dLbls>
        <c:gapWidth val="0"/>
        <c:overlap val="5"/>
        <c:axId val="2122158784"/>
        <c:axId val="2122159744"/>
      </c:barChart>
      <c:catAx>
        <c:axId val="2122158784"/>
        <c:scaling>
          <c:orientation val="minMax"/>
        </c:scaling>
        <c:delete val="1"/>
        <c:axPos val="l"/>
        <c:numFmt formatCode="General" sourceLinked="1"/>
        <c:majorTickMark val="none"/>
        <c:minorTickMark val="none"/>
        <c:tickLblPos val="nextTo"/>
        <c:crossAx val="2122159744"/>
        <c:crosses val="autoZero"/>
        <c:auto val="1"/>
        <c:lblAlgn val="ctr"/>
        <c:lblOffset val="100"/>
        <c:noMultiLvlLbl val="0"/>
      </c:catAx>
      <c:valAx>
        <c:axId val="2122159744"/>
        <c:scaling>
          <c:orientation val="minMax"/>
        </c:scaling>
        <c:delete val="1"/>
        <c:axPos val="b"/>
        <c:numFmt formatCode="General" sourceLinked="1"/>
        <c:majorTickMark val="none"/>
        <c:minorTickMark val="none"/>
        <c:tickLblPos val="nextTo"/>
        <c:crossAx val="2122158784"/>
        <c:crosses val="autoZero"/>
        <c:crossBetween val="between"/>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Sheet1!$A$50:$A$58</c:f>
              <c:strCache>
                <c:ptCount val="8"/>
                <c:pt idx="0">
                  <c:v>00-09</c:v>
                </c:pt>
                <c:pt idx="1">
                  <c:v>10-19</c:v>
                </c:pt>
                <c:pt idx="2">
                  <c:v>20-29</c:v>
                </c:pt>
                <c:pt idx="3">
                  <c:v>30-39</c:v>
                </c:pt>
                <c:pt idx="4">
                  <c:v>40-49</c:v>
                </c:pt>
                <c:pt idx="5">
                  <c:v>50-59</c:v>
                </c:pt>
                <c:pt idx="6">
                  <c:v>60-69</c:v>
                </c:pt>
                <c:pt idx="7">
                  <c:v>70 above</c:v>
                </c:pt>
              </c:strCache>
            </c:strRef>
          </c:cat>
          <c:val>
            <c:numRef>
              <c:f>Sheet1!$B$50:$B$58</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6-2AD7-4866-9C68-696CEEE7DADF}"/>
            </c:ext>
          </c:extLst>
        </c:ser>
        <c:dLbls>
          <c:showLegendKey val="0"/>
          <c:showVal val="0"/>
          <c:showCatName val="0"/>
          <c:showSerName val="0"/>
          <c:showPercent val="0"/>
          <c:showBubbleSize val="0"/>
        </c:dLbls>
        <c:gapWidth val="219"/>
        <c:overlap val="-27"/>
        <c:axId val="431002895"/>
        <c:axId val="431006255"/>
      </c:barChart>
      <c:catAx>
        <c:axId val="4310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lumMod val="50000"/>
                    <a:lumOff val="50000"/>
                  </a:schemeClr>
                </a:solidFill>
                <a:latin typeface="+mn-lt"/>
                <a:ea typeface="+mn-ea"/>
                <a:cs typeface="+mn-cs"/>
              </a:defRPr>
            </a:pPr>
            <a:endParaRPr lang="en-US"/>
          </a:p>
        </c:txPr>
        <c:crossAx val="431006255"/>
        <c:crosses val="autoZero"/>
        <c:auto val="1"/>
        <c:lblAlgn val="ctr"/>
        <c:lblOffset val="100"/>
        <c:noMultiLvlLbl val="0"/>
      </c:catAx>
      <c:valAx>
        <c:axId val="431006255"/>
        <c:scaling>
          <c:orientation val="minMax"/>
        </c:scaling>
        <c:delete val="1"/>
        <c:axPos val="l"/>
        <c:numFmt formatCode="0" sourceLinked="1"/>
        <c:majorTickMark val="none"/>
        <c:minorTickMark val="none"/>
        <c:tickLblPos val="nextTo"/>
        <c:crossAx val="43100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2">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Sheet1!$A$62:$A$70</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Sheet1!$B$62:$B$70</c:f>
              <c:numCache>
                <c:formatCode>0.00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6-6E2B-463E-B0ED-49E660AE0FD8}"/>
            </c:ext>
          </c:extLst>
        </c:ser>
        <c:dLbls>
          <c:showLegendKey val="0"/>
          <c:showVal val="0"/>
          <c:showCatName val="0"/>
          <c:showSerName val="0"/>
          <c:showPercent val="0"/>
          <c:showBubbleSize val="0"/>
        </c:dLbls>
        <c:gapWidth val="182"/>
        <c:axId val="267864303"/>
        <c:axId val="267876303"/>
      </c:barChart>
      <c:catAx>
        <c:axId val="26786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50000"/>
                    <a:lumOff val="50000"/>
                  </a:schemeClr>
                </a:solidFill>
                <a:latin typeface="+mn-lt"/>
                <a:ea typeface="+mn-ea"/>
                <a:cs typeface="+mn-cs"/>
              </a:defRPr>
            </a:pPr>
            <a:endParaRPr lang="en-US"/>
          </a:p>
        </c:txPr>
        <c:crossAx val="267876303"/>
        <c:crosses val="autoZero"/>
        <c:auto val="1"/>
        <c:lblAlgn val="ctr"/>
        <c:lblOffset val="100"/>
        <c:noMultiLvlLbl val="0"/>
      </c:catAx>
      <c:valAx>
        <c:axId val="267876303"/>
        <c:scaling>
          <c:orientation val="minMax"/>
        </c:scaling>
        <c:delete val="1"/>
        <c:axPos val="b"/>
        <c:numFmt formatCode="0.00" sourceLinked="1"/>
        <c:majorTickMark val="none"/>
        <c:minorTickMark val="none"/>
        <c:tickLblPos val="nextTo"/>
        <c:crossAx val="26786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E0000"/>
          </a:solidFill>
          <a:ln>
            <a:noFill/>
          </a:ln>
          <a:effectLst>
            <a:outerShdw blurRad="317500" algn="ctr" rotWithShape="0">
              <a:prstClr val="black">
                <a:alpha val="25000"/>
              </a:prstClr>
            </a:outerShdw>
          </a:effectLst>
        </c:spPr>
      </c:pivotFmt>
      <c:pivotFmt>
        <c:idx val="6"/>
        <c:spPr>
          <a:solidFill>
            <a:schemeClr val="tx2">
              <a:lumMod val="75000"/>
              <a:lumOff val="2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3081357620100373"/>
          <c:y val="0.14957048337707787"/>
          <c:w val="0.73666897586529811"/>
          <c:h val="0.7008592155147273"/>
        </c:manualLayout>
      </c:layout>
      <c:pieChart>
        <c:varyColors val="1"/>
        <c:ser>
          <c:idx val="0"/>
          <c:order val="0"/>
          <c:tx>
            <c:strRef>
              <c:f>Sheet1!$B$73</c:f>
              <c:strCache>
                <c:ptCount val="1"/>
                <c:pt idx="0">
                  <c:v>Total</c:v>
                </c:pt>
              </c:strCache>
            </c:strRef>
          </c:tx>
          <c:dPt>
            <c:idx val="0"/>
            <c:bubble3D val="0"/>
            <c:spPr>
              <a:solidFill>
                <a:srgbClr val="9E0000"/>
              </a:solidFill>
              <a:ln>
                <a:noFill/>
              </a:ln>
              <a:effectLst>
                <a:outerShdw blurRad="317500" algn="ctr" rotWithShape="0">
                  <a:prstClr val="black">
                    <a:alpha val="25000"/>
                  </a:prstClr>
                </a:outerShdw>
              </a:effectLst>
            </c:spPr>
          </c:dPt>
          <c:dPt>
            <c:idx val="1"/>
            <c:bubble3D val="0"/>
            <c:spPr>
              <a:solidFill>
                <a:schemeClr val="tx2">
                  <a:lumMod val="75000"/>
                  <a:lumOff val="25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Sheet1!$A$74:$A$76</c:f>
              <c:strCache>
                <c:ptCount val="2"/>
                <c:pt idx="0">
                  <c:v>Delayed</c:v>
                </c:pt>
                <c:pt idx="1">
                  <c:v>On-Time</c:v>
                </c:pt>
              </c:strCache>
            </c:strRef>
          </c:cat>
          <c:val>
            <c:numRef>
              <c:f>Sheet1!$B$74:$B$76</c:f>
              <c:numCache>
                <c:formatCode>0.00</c:formatCode>
                <c:ptCount val="2"/>
                <c:pt idx="0">
                  <c:v>267</c:v>
                </c:pt>
                <c:pt idx="1">
                  <c:v>197</c:v>
                </c:pt>
              </c:numCache>
            </c:numRef>
          </c:val>
          <c:extLst>
            <c:ext xmlns:c16="http://schemas.microsoft.com/office/drawing/2014/chart" uri="{C3380CC4-5D6E-409C-BE32-E72D297353CC}">
              <c16:uniqueId val="{0000000A-171A-4586-BC96-D04121BF349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120038236144289"/>
          <c:y val="3.0670658355205601E-2"/>
          <c:w val="0.70950919822273451"/>
          <c:h val="0.1053251676873723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317500" algn="ctr" rotWithShape="0">
              <a:prstClr val="black">
                <a:alpha val="25000"/>
              </a:prstClr>
            </a:outerShdw>
          </a:effectLst>
        </c:spPr>
      </c:pivotFmt>
      <c:pivotFmt>
        <c:idx val="6"/>
        <c:spPr>
          <a:solidFill>
            <a:srgbClr val="A32929"/>
          </a:solidFill>
          <a:ln>
            <a:noFill/>
          </a:ln>
          <a:effectLst>
            <a:outerShdw blurRad="317500" algn="ctr" rotWithShape="0">
              <a:prstClr val="black">
                <a:alpha val="25000"/>
              </a:prstClr>
            </a:outerShdw>
          </a:effectLst>
        </c:spPr>
      </c:pivotFmt>
    </c:pivotFmts>
    <c:plotArea>
      <c:layout>
        <c:manualLayout>
          <c:layoutTarget val="inner"/>
          <c:xMode val="edge"/>
          <c:yMode val="edge"/>
          <c:x val="0.15958556361557166"/>
          <c:y val="0.14808597288059397"/>
          <c:w val="0.68828679879581978"/>
          <c:h val="0.66054728045644173"/>
        </c:manualLayout>
      </c:layout>
      <c:doughnutChart>
        <c:varyColors val="1"/>
        <c:ser>
          <c:idx val="0"/>
          <c:order val="0"/>
          <c:tx>
            <c:strRef>
              <c:f>Sheet1!$B$79</c:f>
              <c:strCache>
                <c:ptCount val="1"/>
                <c:pt idx="0">
                  <c:v>Total</c:v>
                </c:pt>
              </c:strCache>
            </c:strRef>
          </c:tx>
          <c:dPt>
            <c:idx val="0"/>
            <c:bubble3D val="0"/>
            <c:spPr>
              <a:solidFill>
                <a:schemeClr val="tx2">
                  <a:lumMod val="75000"/>
                  <a:lumOff val="25000"/>
                </a:schemeClr>
              </a:solidFill>
              <a:ln>
                <a:noFill/>
              </a:ln>
              <a:effectLst>
                <a:outerShdw blurRad="317500" algn="ctr" rotWithShape="0">
                  <a:prstClr val="black">
                    <a:alpha val="25000"/>
                  </a:prstClr>
                </a:outerShdw>
              </a:effectLst>
            </c:spPr>
          </c:dPt>
          <c:dPt>
            <c:idx val="1"/>
            <c:bubble3D val="0"/>
            <c:spPr>
              <a:solidFill>
                <a:srgbClr val="A32929"/>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Sheet1!$A$80:$A$82</c:f>
              <c:strCache>
                <c:ptCount val="2"/>
                <c:pt idx="0">
                  <c:v>Female</c:v>
                </c:pt>
                <c:pt idx="1">
                  <c:v>Male</c:v>
                </c:pt>
              </c:strCache>
            </c:strRef>
          </c:cat>
          <c:val>
            <c:numRef>
              <c:f>Sheet1!$B$80:$B$82</c:f>
              <c:numCache>
                <c:formatCode>0.00</c:formatCode>
                <c:ptCount val="2"/>
                <c:pt idx="0">
                  <c:v>228</c:v>
                </c:pt>
                <c:pt idx="1">
                  <c:v>236</c:v>
                </c:pt>
              </c:numCache>
            </c:numRef>
          </c:val>
          <c:extLst>
            <c:ext xmlns:c16="http://schemas.microsoft.com/office/drawing/2014/chart" uri="{C3380CC4-5D6E-409C-BE32-E72D297353CC}">
              <c16:uniqueId val="{0000000A-5163-4B70-9618-959B399544CC}"/>
            </c:ext>
          </c:extLst>
        </c:ser>
        <c:dLbls>
          <c:showLegendKey val="0"/>
          <c:showVal val="0"/>
          <c:showCatName val="0"/>
          <c:showSerName val="0"/>
          <c:showPercent val="1"/>
          <c:showBubbleSize val="0"/>
          <c:showLeaderLines val="1"/>
        </c:dLbls>
        <c:firstSliceAng val="0"/>
        <c:holeSize val="59"/>
      </c:doughnutChart>
      <c:spPr>
        <a:noFill/>
        <a:ln>
          <a:noFill/>
        </a:ln>
        <a:effectLst/>
      </c:spPr>
    </c:plotArea>
    <c:legend>
      <c:legendPos val="r"/>
      <c:layout>
        <c:manualLayout>
          <c:xMode val="edge"/>
          <c:yMode val="edge"/>
          <c:x val="0.22684378429621704"/>
          <c:y val="4.2244823563721209E-2"/>
          <c:w val="0.2754400432129876"/>
          <c:h val="0.1863995715900751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Sheet1!$K$5:$K$36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5-1A80-4DB1-B473-58FA3BD046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2164544"/>
        <c:axId val="2122165504"/>
      </c:areaChart>
      <c:catAx>
        <c:axId val="21221645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2165504"/>
        <c:crosses val="autoZero"/>
        <c:auto val="1"/>
        <c:lblAlgn val="ctr"/>
        <c:lblOffset val="100"/>
        <c:noMultiLvlLbl val="0"/>
      </c:catAx>
      <c:valAx>
        <c:axId val="2122165504"/>
        <c:scaling>
          <c:orientation val="minMax"/>
        </c:scaling>
        <c:delete val="1"/>
        <c:axPos val="l"/>
        <c:numFmt formatCode="0.00" sourceLinked="1"/>
        <c:majorTickMark val="out"/>
        <c:minorTickMark val="none"/>
        <c:tickLblPos val="nextTo"/>
        <c:crossAx val="21221645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Dashboard.xlsx]Sheet1!PivotTable2</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areaChart>
        <c:grouping val="standard"/>
        <c:varyColors val="0"/>
        <c:ser>
          <c:idx val="0"/>
          <c:order val="0"/>
          <c:tx>
            <c:strRef>
              <c:f>Sheet1!$E$4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6-4A6D-435A-9996-88132094D46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1875696"/>
        <c:axId val="2121876176"/>
      </c:areaChart>
      <c:catAx>
        <c:axId val="21218756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121876176"/>
        <c:crosses val="autoZero"/>
        <c:auto val="1"/>
        <c:lblAlgn val="ctr"/>
        <c:lblOffset val="100"/>
        <c:noMultiLvlLbl val="0"/>
      </c:catAx>
      <c:valAx>
        <c:axId val="2121876176"/>
        <c:scaling>
          <c:orientation val="minMax"/>
        </c:scaling>
        <c:delete val="1"/>
        <c:axPos val="l"/>
        <c:numFmt formatCode="General" sourceLinked="1"/>
        <c:majorTickMark val="out"/>
        <c:minorTickMark val="none"/>
        <c:tickLblPos val="nextTo"/>
        <c:crossAx val="2121875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Sheet1!$H$5:$H$36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5-D9BA-43AD-BE0F-E7CE288EB9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2153024"/>
        <c:axId val="2122141024"/>
      </c:areaChart>
      <c:catAx>
        <c:axId val="21221530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122141024"/>
        <c:crosses val="autoZero"/>
        <c:auto val="1"/>
        <c:lblAlgn val="ctr"/>
        <c:lblOffset val="100"/>
        <c:noMultiLvlLbl val="0"/>
      </c:catAx>
      <c:valAx>
        <c:axId val="2122141024"/>
        <c:scaling>
          <c:orientation val="minMax"/>
        </c:scaling>
        <c:delete val="1"/>
        <c:axPos val="l"/>
        <c:numFmt formatCode="0.00" sourceLinked="1"/>
        <c:majorTickMark val="out"/>
        <c:minorTickMark val="none"/>
        <c:tickLblPos val="nextTo"/>
        <c:crossAx val="21221530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g Wait 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Patient Admission Analysi'!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80964</xdr:colOff>
      <xdr:row>43</xdr:row>
      <xdr:rowOff>104775</xdr:rowOff>
    </xdr:from>
    <xdr:to>
      <xdr:col>3</xdr:col>
      <xdr:colOff>1457326</xdr:colOff>
      <xdr:row>46</xdr:row>
      <xdr:rowOff>47625</xdr:rowOff>
    </xdr:to>
    <xdr:graphicFrame macro="">
      <xdr:nvGraphicFramePr>
        <xdr:cNvPr id="6" name="Chart 5">
          <a:extLst>
            <a:ext uri="{FF2B5EF4-FFF2-40B4-BE49-F238E27FC236}">
              <a16:creationId xmlns:a16="http://schemas.microsoft.com/office/drawing/2014/main" id="{C2F3E5AC-C191-8B20-9D81-4D3D0CABF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495300</xdr:colOff>
      <xdr:row>1</xdr:row>
      <xdr:rowOff>66674</xdr:rowOff>
    </xdr:from>
    <xdr:to>
      <xdr:col>21</xdr:col>
      <xdr:colOff>142875</xdr:colOff>
      <xdr:row>11</xdr:row>
      <xdr:rowOff>142875</xdr:rowOff>
    </xdr:to>
    <xdr:sp macro="" textlink="">
      <xdr:nvSpPr>
        <xdr:cNvPr id="2" name="Rectangle: Rounded Corners 1">
          <a:extLst>
            <a:ext uri="{FF2B5EF4-FFF2-40B4-BE49-F238E27FC236}">
              <a16:creationId xmlns:a16="http://schemas.microsoft.com/office/drawing/2014/main" id="{5FB55B2A-3A10-30A8-D223-B51CF24F34E8}"/>
            </a:ext>
          </a:extLst>
        </xdr:cNvPr>
        <xdr:cNvSpPr/>
      </xdr:nvSpPr>
      <xdr:spPr>
        <a:xfrm>
          <a:off x="4152900" y="257174"/>
          <a:ext cx="8791575" cy="1981201"/>
        </a:xfrm>
        <a:prstGeom prst="roundRect">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21</xdr:col>
      <xdr:colOff>352425</xdr:colOff>
      <xdr:row>1</xdr:row>
      <xdr:rowOff>66674</xdr:rowOff>
    </xdr:from>
    <xdr:to>
      <xdr:col>26</xdr:col>
      <xdr:colOff>161925</xdr:colOff>
      <xdr:row>11</xdr:row>
      <xdr:rowOff>142875</xdr:rowOff>
    </xdr:to>
    <xdr:sp macro="" textlink="">
      <xdr:nvSpPr>
        <xdr:cNvPr id="4" name="Rectangle: Rounded Corners 3">
          <a:extLst>
            <a:ext uri="{FF2B5EF4-FFF2-40B4-BE49-F238E27FC236}">
              <a16:creationId xmlns:a16="http://schemas.microsoft.com/office/drawing/2014/main" id="{571A164F-8765-E330-8297-2A577F3663C3}"/>
            </a:ext>
          </a:extLst>
        </xdr:cNvPr>
        <xdr:cNvSpPr/>
      </xdr:nvSpPr>
      <xdr:spPr>
        <a:xfrm>
          <a:off x="13154025" y="257174"/>
          <a:ext cx="2857500" cy="1981201"/>
        </a:xfrm>
        <a:prstGeom prst="roundRect">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352425</xdr:colOff>
      <xdr:row>1</xdr:row>
      <xdr:rowOff>66675</xdr:rowOff>
    </xdr:from>
    <xdr:to>
      <xdr:col>6</xdr:col>
      <xdr:colOff>314325</xdr:colOff>
      <xdr:row>21</xdr:row>
      <xdr:rowOff>9525</xdr:rowOff>
    </xdr:to>
    <xdr:sp macro="" textlink="">
      <xdr:nvSpPr>
        <xdr:cNvPr id="5" name="Rectangle: Rounded Corners 4">
          <a:extLst>
            <a:ext uri="{FF2B5EF4-FFF2-40B4-BE49-F238E27FC236}">
              <a16:creationId xmlns:a16="http://schemas.microsoft.com/office/drawing/2014/main" id="{84C5469B-6A4F-27DD-3FA1-B2D5D42DD7B6}"/>
            </a:ext>
          </a:extLst>
        </xdr:cNvPr>
        <xdr:cNvSpPr/>
      </xdr:nvSpPr>
      <xdr:spPr>
        <a:xfrm>
          <a:off x="352425" y="257175"/>
          <a:ext cx="3619500" cy="3752850"/>
        </a:xfrm>
        <a:prstGeom prst="roundRect">
          <a:avLst>
            <a:gd name="adj" fmla="val 6919"/>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381000</xdr:colOff>
      <xdr:row>1</xdr:row>
      <xdr:rowOff>66675</xdr:rowOff>
    </xdr:from>
    <xdr:to>
      <xdr:col>32</xdr:col>
      <xdr:colOff>342900</xdr:colOff>
      <xdr:row>21</xdr:row>
      <xdr:rowOff>9525</xdr:rowOff>
    </xdr:to>
    <xdr:sp macro="" textlink="">
      <xdr:nvSpPr>
        <xdr:cNvPr id="6" name="Rectangle: Rounded Corners 5">
          <a:extLst>
            <a:ext uri="{FF2B5EF4-FFF2-40B4-BE49-F238E27FC236}">
              <a16:creationId xmlns:a16="http://schemas.microsoft.com/office/drawing/2014/main" id="{03C77299-B905-35A1-D8B1-19668843C8B1}"/>
            </a:ext>
          </a:extLst>
        </xdr:cNvPr>
        <xdr:cNvSpPr/>
      </xdr:nvSpPr>
      <xdr:spPr>
        <a:xfrm>
          <a:off x="16230600" y="257175"/>
          <a:ext cx="3619500" cy="3752850"/>
        </a:xfrm>
        <a:prstGeom prst="roundRect">
          <a:avLst>
            <a:gd name="adj" fmla="val 6604"/>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495300</xdr:colOff>
      <xdr:row>12</xdr:row>
      <xdr:rowOff>180976</xdr:rowOff>
    </xdr:from>
    <xdr:to>
      <xdr:col>26</xdr:col>
      <xdr:colOff>180975</xdr:colOff>
      <xdr:row>21</xdr:row>
      <xdr:rowOff>0</xdr:rowOff>
    </xdr:to>
    <xdr:sp macro="" textlink="">
      <xdr:nvSpPr>
        <xdr:cNvPr id="7" name="Rectangle: Rounded Corners 6">
          <a:extLst>
            <a:ext uri="{FF2B5EF4-FFF2-40B4-BE49-F238E27FC236}">
              <a16:creationId xmlns:a16="http://schemas.microsoft.com/office/drawing/2014/main" id="{024D5556-5F1E-2732-CB86-D3E5C9DBEB4F}"/>
            </a:ext>
          </a:extLst>
        </xdr:cNvPr>
        <xdr:cNvSpPr/>
      </xdr:nvSpPr>
      <xdr:spPr>
        <a:xfrm>
          <a:off x="4152900" y="2466976"/>
          <a:ext cx="11877675" cy="1533524"/>
        </a:xfrm>
        <a:prstGeom prst="roundRect">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22</xdr:row>
      <xdr:rowOff>0</xdr:rowOff>
    </xdr:from>
    <xdr:to>
      <xdr:col>5</xdr:col>
      <xdr:colOff>152400</xdr:colOff>
      <xdr:row>31</xdr:row>
      <xdr:rowOff>49180</xdr:rowOff>
    </xdr:to>
    <xdr:sp macro="" textlink="">
      <xdr:nvSpPr>
        <xdr:cNvPr id="8" name="Rectangle: Rounded Corners 7">
          <a:extLst>
            <a:ext uri="{FF2B5EF4-FFF2-40B4-BE49-F238E27FC236}">
              <a16:creationId xmlns:a16="http://schemas.microsoft.com/office/drawing/2014/main" id="{0ACC80F9-3DF7-636D-D577-81D34B81B62D}"/>
            </a:ext>
          </a:extLst>
        </xdr:cNvPr>
        <xdr:cNvSpPr/>
      </xdr:nvSpPr>
      <xdr:spPr>
        <a:xfrm>
          <a:off x="342900" y="4191000"/>
          <a:ext cx="2857500" cy="1763680"/>
        </a:xfrm>
        <a:prstGeom prst="roundRect">
          <a:avLst>
            <a:gd name="adj" fmla="val 6406"/>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32</xdr:row>
      <xdr:rowOff>62181</xdr:rowOff>
    </xdr:from>
    <xdr:to>
      <xdr:col>5</xdr:col>
      <xdr:colOff>152400</xdr:colOff>
      <xdr:row>41</xdr:row>
      <xdr:rowOff>111361</xdr:rowOff>
    </xdr:to>
    <xdr:sp macro="" textlink="">
      <xdr:nvSpPr>
        <xdr:cNvPr id="10" name="Rectangle: Rounded Corners 9">
          <a:extLst>
            <a:ext uri="{FF2B5EF4-FFF2-40B4-BE49-F238E27FC236}">
              <a16:creationId xmlns:a16="http://schemas.microsoft.com/office/drawing/2014/main" id="{AFDF04A6-321E-CB44-0E94-633D80104175}"/>
            </a:ext>
          </a:extLst>
        </xdr:cNvPr>
        <xdr:cNvSpPr/>
      </xdr:nvSpPr>
      <xdr:spPr>
        <a:xfrm>
          <a:off x="342900" y="6158181"/>
          <a:ext cx="2857500" cy="1763680"/>
        </a:xfrm>
        <a:prstGeom prst="roundRect">
          <a:avLst>
            <a:gd name="adj" fmla="val 3705"/>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42</xdr:row>
      <xdr:rowOff>141320</xdr:rowOff>
    </xdr:from>
    <xdr:to>
      <xdr:col>5</xdr:col>
      <xdr:colOff>152400</xdr:colOff>
      <xdr:row>52</xdr:row>
      <xdr:rowOff>0</xdr:rowOff>
    </xdr:to>
    <xdr:sp macro="" textlink="">
      <xdr:nvSpPr>
        <xdr:cNvPr id="11" name="Rectangle: Rounded Corners 10">
          <a:extLst>
            <a:ext uri="{FF2B5EF4-FFF2-40B4-BE49-F238E27FC236}">
              <a16:creationId xmlns:a16="http://schemas.microsoft.com/office/drawing/2014/main" id="{78ADF1F2-309D-96B3-B591-D1D3D420E7F7}"/>
            </a:ext>
          </a:extLst>
        </xdr:cNvPr>
        <xdr:cNvSpPr/>
      </xdr:nvSpPr>
      <xdr:spPr>
        <a:xfrm>
          <a:off x="342900" y="8142320"/>
          <a:ext cx="2857500" cy="1763680"/>
        </a:xfrm>
        <a:prstGeom prst="roundRect">
          <a:avLst>
            <a:gd name="adj" fmla="val 4246"/>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352426</xdr:colOff>
      <xdr:row>21</xdr:row>
      <xdr:rowOff>190499</xdr:rowOff>
    </xdr:from>
    <xdr:to>
      <xdr:col>20</xdr:col>
      <xdr:colOff>581026</xdr:colOff>
      <xdr:row>52</xdr:row>
      <xdr:rowOff>28574</xdr:rowOff>
    </xdr:to>
    <xdr:grpSp>
      <xdr:nvGrpSpPr>
        <xdr:cNvPr id="16" name="Group 15">
          <a:extLst>
            <a:ext uri="{FF2B5EF4-FFF2-40B4-BE49-F238E27FC236}">
              <a16:creationId xmlns:a16="http://schemas.microsoft.com/office/drawing/2014/main" id="{21EA464D-799E-E317-91BD-BDD27C0E2818}"/>
            </a:ext>
          </a:extLst>
        </xdr:cNvPr>
        <xdr:cNvGrpSpPr/>
      </xdr:nvGrpSpPr>
      <xdr:grpSpPr>
        <a:xfrm>
          <a:off x="3416991" y="4190999"/>
          <a:ext cx="9422296" cy="5743575"/>
          <a:chOff x="3400426" y="3505199"/>
          <a:chExt cx="9372600" cy="6429376"/>
        </a:xfrm>
        <a:solidFill>
          <a:schemeClr val="tx1">
            <a:lumMod val="95000"/>
            <a:lumOff val="5000"/>
          </a:schemeClr>
        </a:solidFill>
      </xdr:grpSpPr>
      <xdr:sp macro="" textlink="">
        <xdr:nvSpPr>
          <xdr:cNvPr id="12" name="Rectangle: Rounded Corners 11">
            <a:extLst>
              <a:ext uri="{FF2B5EF4-FFF2-40B4-BE49-F238E27FC236}">
                <a16:creationId xmlns:a16="http://schemas.microsoft.com/office/drawing/2014/main" id="{8690F77B-1ED6-D60A-1203-8BCF1F5F6BDB}"/>
              </a:ext>
            </a:extLst>
          </xdr:cNvPr>
          <xdr:cNvSpPr/>
        </xdr:nvSpPr>
        <xdr:spPr>
          <a:xfrm>
            <a:off x="3400426" y="3505199"/>
            <a:ext cx="9372600" cy="1419225"/>
          </a:xfrm>
          <a:prstGeom prst="roundRect">
            <a:avLst/>
          </a:prstGeom>
          <a:grp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2FF7BC5C-5DCB-880C-B2E2-3B1F6D0D0DFB}"/>
              </a:ext>
            </a:extLst>
          </xdr:cNvPr>
          <xdr:cNvSpPr/>
        </xdr:nvSpPr>
        <xdr:spPr>
          <a:xfrm>
            <a:off x="3400426" y="5124449"/>
            <a:ext cx="9372600" cy="4810126"/>
          </a:xfrm>
          <a:prstGeom prst="roundRect">
            <a:avLst>
              <a:gd name="adj" fmla="val 5578"/>
            </a:avLst>
          </a:prstGeom>
          <a:grp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21</xdr:col>
      <xdr:colOff>190499</xdr:colOff>
      <xdr:row>21</xdr:row>
      <xdr:rowOff>180975</xdr:rowOff>
    </xdr:from>
    <xdr:to>
      <xdr:col>32</xdr:col>
      <xdr:colOff>323850</xdr:colOff>
      <xdr:row>52</xdr:row>
      <xdr:rowOff>28575</xdr:rowOff>
    </xdr:to>
    <xdr:sp macro="" textlink="">
      <xdr:nvSpPr>
        <xdr:cNvPr id="14" name="Rectangle: Rounded Corners 13">
          <a:extLst>
            <a:ext uri="{FF2B5EF4-FFF2-40B4-BE49-F238E27FC236}">
              <a16:creationId xmlns:a16="http://schemas.microsoft.com/office/drawing/2014/main" id="{6272F5B4-93C1-FDB2-BDE3-684EEC8CB5C9}"/>
            </a:ext>
          </a:extLst>
        </xdr:cNvPr>
        <xdr:cNvSpPr/>
      </xdr:nvSpPr>
      <xdr:spPr>
        <a:xfrm>
          <a:off x="12992099" y="4181475"/>
          <a:ext cx="6838951" cy="5753100"/>
        </a:xfrm>
        <a:prstGeom prst="roundRect">
          <a:avLst>
            <a:gd name="adj" fmla="val 5578"/>
          </a:avLst>
        </a:prstGeom>
        <a:solidFill>
          <a:schemeClr val="tx1">
            <a:lumMod val="95000"/>
            <a:lumOff val="5000"/>
          </a:schemeClr>
        </a:solidFill>
        <a:ln w="381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361948</xdr:colOff>
      <xdr:row>3</xdr:row>
      <xdr:rowOff>190499</xdr:rowOff>
    </xdr:from>
    <xdr:to>
      <xdr:col>21</xdr:col>
      <xdr:colOff>142876</xdr:colOff>
      <xdr:row>7</xdr:row>
      <xdr:rowOff>142874</xdr:rowOff>
    </xdr:to>
    <xdr:sp macro="" textlink="">
      <xdr:nvSpPr>
        <xdr:cNvPr id="17" name="TextBox 16">
          <a:extLst>
            <a:ext uri="{FF2B5EF4-FFF2-40B4-BE49-F238E27FC236}">
              <a16:creationId xmlns:a16="http://schemas.microsoft.com/office/drawing/2014/main" id="{46895B20-97E1-A491-F167-C9E89A7A9886}"/>
            </a:ext>
          </a:extLst>
        </xdr:cNvPr>
        <xdr:cNvSpPr txBox="1"/>
      </xdr:nvSpPr>
      <xdr:spPr>
        <a:xfrm>
          <a:off x="5848348" y="761999"/>
          <a:ext cx="7096128"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3200" b="1">
              <a:solidFill>
                <a:schemeClr val="bg1">
                  <a:lumMod val="95000"/>
                </a:schemeClr>
              </a:solidFill>
              <a:latin typeface="Artifakt Element Black" panose="020B0A03050000020004" pitchFamily="34" charset="0"/>
              <a:ea typeface="Artifakt Element Black" panose="020B0A03050000020004" pitchFamily="34" charset="0"/>
            </a:rPr>
            <a:t>Hospital Emergancy Dashboard</a:t>
          </a:r>
        </a:p>
      </xdr:txBody>
    </xdr:sp>
    <xdr:clientData/>
  </xdr:twoCellAnchor>
  <xdr:twoCellAnchor>
    <xdr:from>
      <xdr:col>12</xdr:col>
      <xdr:colOff>428625</xdr:colOff>
      <xdr:row>6</xdr:row>
      <xdr:rowOff>123823</xdr:rowOff>
    </xdr:from>
    <xdr:to>
      <xdr:col>18</xdr:col>
      <xdr:colOff>171449</xdr:colOff>
      <xdr:row>9</xdr:row>
      <xdr:rowOff>85725</xdr:rowOff>
    </xdr:to>
    <xdr:sp macro="" textlink="">
      <xdr:nvSpPr>
        <xdr:cNvPr id="18" name="TextBox 17">
          <a:extLst>
            <a:ext uri="{FF2B5EF4-FFF2-40B4-BE49-F238E27FC236}">
              <a16:creationId xmlns:a16="http://schemas.microsoft.com/office/drawing/2014/main" id="{61C68090-685C-6995-F641-67CE9407AC27}"/>
            </a:ext>
          </a:extLst>
        </xdr:cNvPr>
        <xdr:cNvSpPr txBox="1"/>
      </xdr:nvSpPr>
      <xdr:spPr>
        <a:xfrm>
          <a:off x="7743825" y="1266823"/>
          <a:ext cx="3400424" cy="533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800" b="0">
              <a:solidFill>
                <a:schemeClr val="bg1">
                  <a:lumMod val="95000"/>
                </a:schemeClr>
              </a:solidFill>
              <a:latin typeface="Artifakt Element Book" panose="020B0503050000020004" pitchFamily="34" charset="0"/>
              <a:ea typeface="Artifakt Element Book" panose="020B0503050000020004" pitchFamily="34" charset="0"/>
            </a:rPr>
            <a:t>Monthly Report</a:t>
          </a:r>
        </a:p>
      </xdr:txBody>
    </xdr:sp>
    <xdr:clientData/>
  </xdr:twoCellAnchor>
  <xdr:twoCellAnchor editAs="oneCell">
    <xdr:from>
      <xdr:col>7</xdr:col>
      <xdr:colOff>133350</xdr:colOff>
      <xdr:row>2</xdr:row>
      <xdr:rowOff>0</xdr:rowOff>
    </xdr:from>
    <xdr:to>
      <xdr:col>10</xdr:col>
      <xdr:colOff>38100</xdr:colOff>
      <xdr:row>11</xdr:row>
      <xdr:rowOff>19050</xdr:rowOff>
    </xdr:to>
    <xdr:pic>
      <xdr:nvPicPr>
        <xdr:cNvPr id="20" name="Graphic 19" descr="Medical with solid fill">
          <a:extLst>
            <a:ext uri="{FF2B5EF4-FFF2-40B4-BE49-F238E27FC236}">
              <a16:creationId xmlns:a16="http://schemas.microsoft.com/office/drawing/2014/main" id="{A310F5A6-7FE9-0D78-19BA-C603A4530D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00550" y="381000"/>
          <a:ext cx="1733550" cy="1733550"/>
        </a:xfrm>
        <a:prstGeom prst="rect">
          <a:avLst/>
        </a:prstGeom>
      </xdr:spPr>
    </xdr:pic>
    <xdr:clientData/>
  </xdr:twoCellAnchor>
  <xdr:twoCellAnchor>
    <xdr:from>
      <xdr:col>2</xdr:col>
      <xdr:colOff>19050</xdr:colOff>
      <xdr:row>25</xdr:row>
      <xdr:rowOff>8776</xdr:rowOff>
    </xdr:from>
    <xdr:to>
      <xdr:col>5</xdr:col>
      <xdr:colOff>9524</xdr:colOff>
      <xdr:row>26</xdr:row>
      <xdr:rowOff>123825</xdr:rowOff>
    </xdr:to>
    <xdr:sp macro="" textlink="">
      <xdr:nvSpPr>
        <xdr:cNvPr id="22" name="TextBox 21">
          <a:extLst>
            <a:ext uri="{FF2B5EF4-FFF2-40B4-BE49-F238E27FC236}">
              <a16:creationId xmlns:a16="http://schemas.microsoft.com/office/drawing/2014/main" id="{53559364-A2F0-74E6-187E-8EDFA64FEDE8}"/>
            </a:ext>
          </a:extLst>
        </xdr:cNvPr>
        <xdr:cNvSpPr txBox="1"/>
      </xdr:nvSpPr>
      <xdr:spPr>
        <a:xfrm>
          <a:off x="1238250" y="4771276"/>
          <a:ext cx="1819274" cy="3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a:solidFill>
                <a:schemeClr val="bg1">
                  <a:lumMod val="95000"/>
                </a:schemeClr>
              </a:solidFill>
              <a:latin typeface="Artifakt Element Book" panose="020B0503050000020004" pitchFamily="34" charset="0"/>
              <a:ea typeface="Artifakt Element Book" panose="020B0503050000020004" pitchFamily="34" charset="0"/>
            </a:rPr>
            <a:t>No.</a:t>
          </a:r>
          <a:r>
            <a:rPr lang="en-US" sz="2000" b="0" baseline="0">
              <a:solidFill>
                <a:schemeClr val="bg1">
                  <a:lumMod val="95000"/>
                </a:schemeClr>
              </a:solidFill>
              <a:latin typeface="Artifakt Element Book" panose="020B0503050000020004" pitchFamily="34" charset="0"/>
              <a:ea typeface="Artifakt Element Book" panose="020B0503050000020004" pitchFamily="34" charset="0"/>
            </a:rPr>
            <a:t> of Patients</a:t>
          </a:r>
          <a:endParaRPr lang="en-US" sz="2000" b="0">
            <a:solidFill>
              <a:schemeClr val="bg1">
                <a:lumMod val="95000"/>
              </a:schemeClr>
            </a:solidFill>
            <a:latin typeface="Artifakt Element Book" panose="020B0503050000020004" pitchFamily="34" charset="0"/>
            <a:ea typeface="Artifakt Element Book" panose="020B0503050000020004" pitchFamily="34" charset="0"/>
          </a:endParaRPr>
        </a:p>
      </xdr:txBody>
    </xdr:sp>
    <xdr:clientData/>
  </xdr:twoCellAnchor>
  <xdr:twoCellAnchor>
    <xdr:from>
      <xdr:col>2</xdr:col>
      <xdr:colOff>352426</xdr:colOff>
      <xdr:row>21</xdr:row>
      <xdr:rowOff>133350</xdr:rowOff>
    </xdr:from>
    <xdr:to>
      <xdr:col>5</xdr:col>
      <xdr:colOff>133350</xdr:colOff>
      <xdr:row>25</xdr:row>
      <xdr:rowOff>76200</xdr:rowOff>
    </xdr:to>
    <xdr:sp macro="" textlink="Sheet1!A5">
      <xdr:nvSpPr>
        <xdr:cNvPr id="23" name="TextBox 22">
          <a:extLst>
            <a:ext uri="{FF2B5EF4-FFF2-40B4-BE49-F238E27FC236}">
              <a16:creationId xmlns:a16="http://schemas.microsoft.com/office/drawing/2014/main" id="{2C4F09DD-D08F-343D-0F14-5DDA40283B92}"/>
            </a:ext>
          </a:extLst>
        </xdr:cNvPr>
        <xdr:cNvSpPr txBox="1"/>
      </xdr:nvSpPr>
      <xdr:spPr>
        <a:xfrm>
          <a:off x="1571626" y="4133850"/>
          <a:ext cx="1609724"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A56A6C6-A14F-4848-ABE2-5E5A1CCE215E}" type="TxLink">
            <a:rPr lang="en-US" sz="4800" b="0" i="0" u="none" strike="noStrike">
              <a:solidFill>
                <a:schemeClr val="bg1"/>
              </a:solidFill>
              <a:latin typeface="Artifakt Element Black" panose="020B0A03050000020004" pitchFamily="34" charset="0"/>
              <a:ea typeface="Artifakt Element Black" panose="020B0A03050000020004" pitchFamily="34" charset="0"/>
            </a:rPr>
            <a:pPr algn="ctr"/>
            <a:t>464</a:t>
          </a:fld>
          <a:endParaRPr lang="en-US" sz="8800" b="0">
            <a:solidFill>
              <a:schemeClr val="bg1"/>
            </a:solidFill>
            <a:latin typeface="Artifakt Element Black" panose="020B0A03050000020004" pitchFamily="34" charset="0"/>
            <a:ea typeface="Artifakt Element Black" panose="020B0A03050000020004" pitchFamily="34" charset="0"/>
          </a:endParaRPr>
        </a:p>
      </xdr:txBody>
    </xdr:sp>
    <xdr:clientData/>
  </xdr:twoCellAnchor>
  <xdr:twoCellAnchor>
    <xdr:from>
      <xdr:col>0</xdr:col>
      <xdr:colOff>457199</xdr:colOff>
      <xdr:row>35</xdr:row>
      <xdr:rowOff>142126</xdr:rowOff>
    </xdr:from>
    <xdr:to>
      <xdr:col>5</xdr:col>
      <xdr:colOff>333375</xdr:colOff>
      <xdr:row>38</xdr:row>
      <xdr:rowOff>29322</xdr:rowOff>
    </xdr:to>
    <xdr:sp macro="" textlink="">
      <xdr:nvSpPr>
        <xdr:cNvPr id="24" name="TextBox 23">
          <a:extLst>
            <a:ext uri="{FF2B5EF4-FFF2-40B4-BE49-F238E27FC236}">
              <a16:creationId xmlns:a16="http://schemas.microsoft.com/office/drawing/2014/main" id="{1E731E65-38E3-DB1D-89F8-A3C8767DF982}"/>
            </a:ext>
          </a:extLst>
        </xdr:cNvPr>
        <xdr:cNvSpPr txBox="1"/>
      </xdr:nvSpPr>
      <xdr:spPr>
        <a:xfrm>
          <a:off x="457199" y="6809626"/>
          <a:ext cx="2924176" cy="45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b="0">
              <a:solidFill>
                <a:schemeClr val="bg1">
                  <a:lumMod val="95000"/>
                </a:schemeClr>
              </a:solidFill>
              <a:latin typeface="Artifakt Element Book" panose="020B0503050000020004" pitchFamily="34" charset="0"/>
              <a:ea typeface="Artifakt Element Book" panose="020B0503050000020004" pitchFamily="34" charset="0"/>
            </a:rPr>
            <a:t>Avg. Wait Time (Min)</a:t>
          </a:r>
        </a:p>
      </xdr:txBody>
    </xdr:sp>
    <xdr:clientData/>
  </xdr:twoCellAnchor>
  <xdr:twoCellAnchor>
    <xdr:from>
      <xdr:col>2</xdr:col>
      <xdr:colOff>133351</xdr:colOff>
      <xdr:row>32</xdr:row>
      <xdr:rowOff>28575</xdr:rowOff>
    </xdr:from>
    <xdr:to>
      <xdr:col>5</xdr:col>
      <xdr:colOff>66675</xdr:colOff>
      <xdr:row>35</xdr:row>
      <xdr:rowOff>171450</xdr:rowOff>
    </xdr:to>
    <xdr:sp macro="" textlink="Sheet1!A9">
      <xdr:nvSpPr>
        <xdr:cNvPr id="25" name="TextBox 24">
          <a:extLst>
            <a:ext uri="{FF2B5EF4-FFF2-40B4-BE49-F238E27FC236}">
              <a16:creationId xmlns:a16="http://schemas.microsoft.com/office/drawing/2014/main" id="{814BEBD5-0A18-E31B-29D2-F3431B55E4DA}"/>
            </a:ext>
          </a:extLst>
        </xdr:cNvPr>
        <xdr:cNvSpPr txBox="1"/>
      </xdr:nvSpPr>
      <xdr:spPr>
        <a:xfrm>
          <a:off x="1352551" y="6124575"/>
          <a:ext cx="1762124"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BAF33C3-2BCA-4FBF-A771-44DE573ECF49}" type="TxLink">
            <a:rPr lang="en-US" sz="4800" b="0" i="0" u="none" strike="noStrike">
              <a:solidFill>
                <a:schemeClr val="bg1"/>
              </a:solidFill>
              <a:latin typeface="Artifakt Element Black" panose="020B0A03050000020004" pitchFamily="34" charset="0"/>
              <a:ea typeface="Artifakt Element Black" panose="020B0A03050000020004" pitchFamily="34" charset="0"/>
            </a:rPr>
            <a:pPr algn="ctr"/>
            <a:t>34.72</a:t>
          </a:fld>
          <a:endParaRPr lang="en-US" sz="102800" b="0">
            <a:solidFill>
              <a:schemeClr val="bg1"/>
            </a:solidFill>
            <a:latin typeface="Artifakt Element Black" panose="020B0A03050000020004" pitchFamily="34" charset="0"/>
            <a:ea typeface="Artifakt Element Black" panose="020B0A03050000020004" pitchFamily="34" charset="0"/>
          </a:endParaRPr>
        </a:p>
      </xdr:txBody>
    </xdr:sp>
    <xdr:clientData/>
  </xdr:twoCellAnchor>
  <xdr:twoCellAnchor>
    <xdr:from>
      <xdr:col>0</xdr:col>
      <xdr:colOff>380999</xdr:colOff>
      <xdr:row>46</xdr:row>
      <xdr:rowOff>27826</xdr:rowOff>
    </xdr:from>
    <xdr:to>
      <xdr:col>5</xdr:col>
      <xdr:colOff>257175</xdr:colOff>
      <xdr:row>48</xdr:row>
      <xdr:rowOff>105522</xdr:rowOff>
    </xdr:to>
    <xdr:sp macro="" textlink="">
      <xdr:nvSpPr>
        <xdr:cNvPr id="26" name="TextBox 25">
          <a:extLst>
            <a:ext uri="{FF2B5EF4-FFF2-40B4-BE49-F238E27FC236}">
              <a16:creationId xmlns:a16="http://schemas.microsoft.com/office/drawing/2014/main" id="{356D3796-3EA8-8211-4B90-D8AF39C4FF50}"/>
            </a:ext>
          </a:extLst>
        </xdr:cNvPr>
        <xdr:cNvSpPr txBox="1"/>
      </xdr:nvSpPr>
      <xdr:spPr>
        <a:xfrm>
          <a:off x="380999" y="8790826"/>
          <a:ext cx="2924176" cy="45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0">
              <a:solidFill>
                <a:schemeClr val="bg1">
                  <a:lumMod val="95000"/>
                </a:schemeClr>
              </a:solidFill>
              <a:latin typeface="Artifakt Element Book" panose="020B0503050000020004" pitchFamily="34" charset="0"/>
              <a:ea typeface="Artifakt Element Book" panose="020B0503050000020004" pitchFamily="34" charset="0"/>
            </a:rPr>
            <a:t>Patient Satisfaction Score</a:t>
          </a:r>
        </a:p>
      </xdr:txBody>
    </xdr:sp>
    <xdr:clientData/>
  </xdr:twoCellAnchor>
  <xdr:twoCellAnchor>
    <xdr:from>
      <xdr:col>2</xdr:col>
      <xdr:colOff>400051</xdr:colOff>
      <xdr:row>42</xdr:row>
      <xdr:rowOff>85725</xdr:rowOff>
    </xdr:from>
    <xdr:to>
      <xdr:col>5</xdr:col>
      <xdr:colOff>161925</xdr:colOff>
      <xdr:row>46</xdr:row>
      <xdr:rowOff>38100</xdr:rowOff>
    </xdr:to>
    <xdr:sp macro="" textlink="Sheet1!A13">
      <xdr:nvSpPr>
        <xdr:cNvPr id="27" name="TextBox 26">
          <a:extLst>
            <a:ext uri="{FF2B5EF4-FFF2-40B4-BE49-F238E27FC236}">
              <a16:creationId xmlns:a16="http://schemas.microsoft.com/office/drawing/2014/main" id="{6CF61B74-76B0-8E96-83CB-3D7475C18079}"/>
            </a:ext>
          </a:extLst>
        </xdr:cNvPr>
        <xdr:cNvSpPr txBox="1"/>
      </xdr:nvSpPr>
      <xdr:spPr>
        <a:xfrm>
          <a:off x="1619251" y="8086725"/>
          <a:ext cx="1590674"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7A44A28-2B2C-4D89-B7CB-4DED7DD0C12D}" type="TxLink">
            <a:rPr lang="en-US" sz="4800" b="0" i="0" u="none" strike="noStrike">
              <a:solidFill>
                <a:schemeClr val="bg1"/>
              </a:solidFill>
              <a:latin typeface="Artifakt Element Black" panose="020B0A03050000020004" pitchFamily="34" charset="0"/>
              <a:ea typeface="Artifakt Element Black" panose="020B0A03050000020004" pitchFamily="34" charset="0"/>
            </a:rPr>
            <a:pPr algn="ctr"/>
            <a:t>4.99</a:t>
          </a:fld>
          <a:endParaRPr lang="en-US" sz="102800" b="0">
            <a:solidFill>
              <a:schemeClr val="bg1"/>
            </a:solidFill>
            <a:latin typeface="Artifakt Element Black" panose="020B0A03050000020004" pitchFamily="34" charset="0"/>
            <a:ea typeface="Artifakt Element Black" panose="020B0A03050000020004" pitchFamily="34" charset="0"/>
          </a:endParaRPr>
        </a:p>
      </xdr:txBody>
    </xdr:sp>
    <xdr:clientData/>
  </xdr:twoCellAnchor>
  <xdr:twoCellAnchor editAs="oneCell">
    <xdr:from>
      <xdr:col>0</xdr:col>
      <xdr:colOff>400050</xdr:colOff>
      <xdr:row>43</xdr:row>
      <xdr:rowOff>0</xdr:rowOff>
    </xdr:from>
    <xdr:to>
      <xdr:col>1</xdr:col>
      <xdr:colOff>247650</xdr:colOff>
      <xdr:row>45</xdr:row>
      <xdr:rowOff>76200</xdr:rowOff>
    </xdr:to>
    <xdr:pic>
      <xdr:nvPicPr>
        <xdr:cNvPr id="29" name="Graphic 28" descr="Star with solid fill">
          <a:extLst>
            <a:ext uri="{FF2B5EF4-FFF2-40B4-BE49-F238E27FC236}">
              <a16:creationId xmlns:a16="http://schemas.microsoft.com/office/drawing/2014/main" id="{D118C5EA-B5A9-98F2-62D5-2C74F01EE2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0050" y="8191500"/>
          <a:ext cx="457200" cy="457200"/>
        </a:xfrm>
        <a:prstGeom prst="rect">
          <a:avLst/>
        </a:prstGeom>
      </xdr:spPr>
    </xdr:pic>
    <xdr:clientData/>
  </xdr:twoCellAnchor>
  <xdr:twoCellAnchor editAs="oneCell">
    <xdr:from>
      <xdr:col>0</xdr:col>
      <xdr:colOff>404775</xdr:colOff>
      <xdr:row>32</xdr:row>
      <xdr:rowOff>157125</xdr:rowOff>
    </xdr:from>
    <xdr:to>
      <xdr:col>1</xdr:col>
      <xdr:colOff>228600</xdr:colOff>
      <xdr:row>35</xdr:row>
      <xdr:rowOff>19050</xdr:rowOff>
    </xdr:to>
    <xdr:pic>
      <xdr:nvPicPr>
        <xdr:cNvPr id="31" name="Graphic 30" descr="Clock with solid fill">
          <a:extLst>
            <a:ext uri="{FF2B5EF4-FFF2-40B4-BE49-F238E27FC236}">
              <a16:creationId xmlns:a16="http://schemas.microsoft.com/office/drawing/2014/main" id="{261F2CD6-AF3E-23FE-D14B-46E790C0DDE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775" y="6253125"/>
          <a:ext cx="433425" cy="433425"/>
        </a:xfrm>
        <a:prstGeom prst="rect">
          <a:avLst/>
        </a:prstGeom>
      </xdr:spPr>
    </xdr:pic>
    <xdr:clientData/>
  </xdr:twoCellAnchor>
  <xdr:twoCellAnchor editAs="oneCell">
    <xdr:from>
      <xdr:col>0</xdr:col>
      <xdr:colOff>399975</xdr:colOff>
      <xdr:row>22</xdr:row>
      <xdr:rowOff>76125</xdr:rowOff>
    </xdr:from>
    <xdr:to>
      <xdr:col>1</xdr:col>
      <xdr:colOff>238125</xdr:colOff>
      <xdr:row>24</xdr:row>
      <xdr:rowOff>142875</xdr:rowOff>
    </xdr:to>
    <xdr:pic>
      <xdr:nvPicPr>
        <xdr:cNvPr id="33" name="Graphic 32" descr="User with solid fill">
          <a:extLst>
            <a:ext uri="{FF2B5EF4-FFF2-40B4-BE49-F238E27FC236}">
              <a16:creationId xmlns:a16="http://schemas.microsoft.com/office/drawing/2014/main" id="{8875D42F-41FB-E187-8924-C8D724B5DC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9975" y="4267125"/>
          <a:ext cx="447750" cy="447750"/>
        </a:xfrm>
        <a:prstGeom prst="rect">
          <a:avLst/>
        </a:prstGeom>
      </xdr:spPr>
    </xdr:pic>
    <xdr:clientData/>
  </xdr:twoCellAnchor>
  <xdr:twoCellAnchor editAs="oneCell">
    <xdr:from>
      <xdr:col>7</xdr:col>
      <xdr:colOff>28574</xdr:colOff>
      <xdr:row>13</xdr:row>
      <xdr:rowOff>76200</xdr:rowOff>
    </xdr:from>
    <xdr:to>
      <xdr:col>26</xdr:col>
      <xdr:colOff>57149</xdr:colOff>
      <xdr:row>20</xdr:row>
      <xdr:rowOff>104775</xdr:rowOff>
    </xdr:to>
    <mc:AlternateContent xmlns:mc="http://schemas.openxmlformats.org/markup-compatibility/2006">
      <mc:Choice xmlns:a14="http://schemas.microsoft.com/office/drawing/2010/main" Requires="a14">
        <xdr:graphicFrame macro="">
          <xdr:nvGraphicFramePr>
            <xdr:cNvPr id="3" name="Date (Month)">
              <a:extLst>
                <a:ext uri="{FF2B5EF4-FFF2-40B4-BE49-F238E27FC236}">
                  <a16:creationId xmlns:a16="http://schemas.microsoft.com/office/drawing/2014/main" id="{C3CD6FC0-F171-4B88-8FA2-658824BEB33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318965" y="2552700"/>
              <a:ext cx="11673923"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323849</xdr:colOff>
      <xdr:row>26</xdr:row>
      <xdr:rowOff>180974</xdr:rowOff>
    </xdr:from>
    <xdr:to>
      <xdr:col>5</xdr:col>
      <xdr:colOff>142874</xdr:colOff>
      <xdr:row>31</xdr:row>
      <xdr:rowOff>38099</xdr:rowOff>
    </xdr:to>
    <xdr:graphicFrame macro="">
      <xdr:nvGraphicFramePr>
        <xdr:cNvPr id="9" name="Chart 8">
          <a:hlinkClick xmlns:r="http://schemas.openxmlformats.org/officeDocument/2006/relationships" r:id="rId9"/>
          <a:extLst>
            <a:ext uri="{FF2B5EF4-FFF2-40B4-BE49-F238E27FC236}">
              <a16:creationId xmlns:a16="http://schemas.microsoft.com/office/drawing/2014/main" id="{86249DC7-627E-43A8-B108-E0CCF0A40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266700</xdr:colOff>
      <xdr:row>36</xdr:row>
      <xdr:rowOff>19050</xdr:rowOff>
    </xdr:from>
    <xdr:to>
      <xdr:col>5</xdr:col>
      <xdr:colOff>104775</xdr:colOff>
      <xdr:row>42</xdr:row>
      <xdr:rowOff>33337</xdr:rowOff>
    </xdr:to>
    <xdr:graphicFrame macro="">
      <xdr:nvGraphicFramePr>
        <xdr:cNvPr id="19" name="Chart 18">
          <a:hlinkClick xmlns:r="http://schemas.openxmlformats.org/officeDocument/2006/relationships" r:id="rId11"/>
          <a:extLst>
            <a:ext uri="{FF2B5EF4-FFF2-40B4-BE49-F238E27FC236}">
              <a16:creationId xmlns:a16="http://schemas.microsoft.com/office/drawing/2014/main" id="{972CECFD-B327-42B5-B1BC-75959AC37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295275</xdr:colOff>
      <xdr:row>48</xdr:row>
      <xdr:rowOff>0</xdr:rowOff>
    </xdr:from>
    <xdr:to>
      <xdr:col>5</xdr:col>
      <xdr:colOff>228600</xdr:colOff>
      <xdr:row>52</xdr:row>
      <xdr:rowOff>19050</xdr:rowOff>
    </xdr:to>
    <xdr:graphicFrame macro="">
      <xdr:nvGraphicFramePr>
        <xdr:cNvPr id="21" name="Chart 20">
          <a:hlinkClick xmlns:r="http://schemas.openxmlformats.org/officeDocument/2006/relationships" r:id="rId13"/>
          <a:extLst>
            <a:ext uri="{FF2B5EF4-FFF2-40B4-BE49-F238E27FC236}">
              <a16:creationId xmlns:a16="http://schemas.microsoft.com/office/drawing/2014/main" id="{CDC69146-09E7-4727-A417-9D18E3EE1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9525</xdr:colOff>
          <xdr:row>24</xdr:row>
          <xdr:rowOff>47625</xdr:rowOff>
        </xdr:from>
        <xdr:to>
          <xdr:col>16</xdr:col>
          <xdr:colOff>305439</xdr:colOff>
          <xdr:row>28</xdr:row>
          <xdr:rowOff>82261</xdr:rowOff>
        </xdr:to>
        <xdr:pic>
          <xdr:nvPicPr>
            <xdr:cNvPr id="42" name="Picture 41">
              <a:extLst>
                <a:ext uri="{FF2B5EF4-FFF2-40B4-BE49-F238E27FC236}">
                  <a16:creationId xmlns:a16="http://schemas.microsoft.com/office/drawing/2014/main" id="{781658B8-0FCE-9E2D-0A7C-1C649DF8821E}"/>
                </a:ext>
              </a:extLst>
            </xdr:cNvPr>
            <xdr:cNvPicPr>
              <a:picLocks noChangeAspect="1" noChangeArrowheads="1"/>
              <a:extLst>
                <a:ext uri="{84589F7E-364E-4C9E-8A38-B11213B215E9}">
                  <a14:cameraTool cellRange="Sheet1!$A$45:$C$46" spid="_x0000_s1052"/>
                </a:ext>
              </a:extLst>
            </xdr:cNvPicPr>
          </xdr:nvPicPr>
          <xdr:blipFill>
            <a:blip xmlns:r="http://schemas.openxmlformats.org/officeDocument/2006/relationships" r:embed="rId15"/>
            <a:srcRect/>
            <a:stretch>
              <a:fillRect/>
            </a:stretch>
          </xdr:blipFill>
          <xdr:spPr bwMode="auto">
            <a:xfrm>
              <a:off x="3687003" y="4619625"/>
              <a:ext cx="6425045" cy="7966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466725</xdr:colOff>
      <xdr:row>24</xdr:row>
      <xdr:rowOff>95250</xdr:rowOff>
    </xdr:from>
    <xdr:to>
      <xdr:col>20</xdr:col>
      <xdr:colOff>381000</xdr:colOff>
      <xdr:row>28</xdr:row>
      <xdr:rowOff>104773</xdr:rowOff>
    </xdr:to>
    <xdr:graphicFrame macro="">
      <xdr:nvGraphicFramePr>
        <xdr:cNvPr id="43" name="Chart 42">
          <a:extLst>
            <a:ext uri="{FF2B5EF4-FFF2-40B4-BE49-F238E27FC236}">
              <a16:creationId xmlns:a16="http://schemas.microsoft.com/office/drawing/2014/main" id="{032B73C9-95C8-45A1-BCCC-971D66885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533400</xdr:colOff>
      <xdr:row>29</xdr:row>
      <xdr:rowOff>76199</xdr:rowOff>
    </xdr:from>
    <xdr:to>
      <xdr:col>20</xdr:col>
      <xdr:colOff>419100</xdr:colOff>
      <xdr:row>50</xdr:row>
      <xdr:rowOff>66674</xdr:rowOff>
    </xdr:to>
    <xdr:graphicFrame macro="">
      <xdr:nvGraphicFramePr>
        <xdr:cNvPr id="44" name="Chart 43">
          <a:extLst>
            <a:ext uri="{FF2B5EF4-FFF2-40B4-BE49-F238E27FC236}">
              <a16:creationId xmlns:a16="http://schemas.microsoft.com/office/drawing/2014/main" id="{148D8F0C-A4ED-4B68-801A-55A186B19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161925</xdr:colOff>
      <xdr:row>50</xdr:row>
      <xdr:rowOff>9525</xdr:rowOff>
    </xdr:from>
    <xdr:to>
      <xdr:col>18</xdr:col>
      <xdr:colOff>19049</xdr:colOff>
      <xdr:row>51</xdr:row>
      <xdr:rowOff>124574</xdr:rowOff>
    </xdr:to>
    <xdr:sp macro="" textlink="">
      <xdr:nvSpPr>
        <xdr:cNvPr id="45" name="TextBox 44">
          <a:extLst>
            <a:ext uri="{FF2B5EF4-FFF2-40B4-BE49-F238E27FC236}">
              <a16:creationId xmlns:a16="http://schemas.microsoft.com/office/drawing/2014/main" id="{06EC9365-6C78-4D5F-8C71-20A5AAC76054}"/>
            </a:ext>
          </a:extLst>
        </xdr:cNvPr>
        <xdr:cNvSpPr txBox="1"/>
      </xdr:nvSpPr>
      <xdr:spPr>
        <a:xfrm>
          <a:off x="5038725" y="9534525"/>
          <a:ext cx="5953124" cy="3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a:solidFill>
                <a:schemeClr val="bg1">
                  <a:lumMod val="95000"/>
                </a:schemeClr>
              </a:solidFill>
              <a:latin typeface="Artifakt Element Book" panose="020B0503050000020004" pitchFamily="34" charset="0"/>
              <a:ea typeface="Artifakt Element Book" panose="020B0503050000020004" pitchFamily="34" charset="0"/>
            </a:rPr>
            <a:t>No.</a:t>
          </a:r>
          <a:r>
            <a:rPr lang="en-US" sz="2000" b="0" baseline="0">
              <a:solidFill>
                <a:schemeClr val="bg1">
                  <a:lumMod val="95000"/>
                </a:schemeClr>
              </a:solidFill>
              <a:latin typeface="Artifakt Element Book" panose="020B0503050000020004" pitchFamily="34" charset="0"/>
              <a:ea typeface="Artifakt Element Book" panose="020B0503050000020004" pitchFamily="34" charset="0"/>
            </a:rPr>
            <a:t> of Patients according to their age.</a:t>
          </a:r>
        </a:p>
      </xdr:txBody>
    </xdr:sp>
    <xdr:clientData/>
  </xdr:twoCellAnchor>
  <xdr:twoCellAnchor>
    <xdr:from>
      <xdr:col>21</xdr:col>
      <xdr:colOff>352425</xdr:colOff>
      <xdr:row>22</xdr:row>
      <xdr:rowOff>142875</xdr:rowOff>
    </xdr:from>
    <xdr:to>
      <xdr:col>32</xdr:col>
      <xdr:colOff>19050</xdr:colOff>
      <xdr:row>50</xdr:row>
      <xdr:rowOff>9525</xdr:rowOff>
    </xdr:to>
    <xdr:graphicFrame macro="">
      <xdr:nvGraphicFramePr>
        <xdr:cNvPr id="46" name="Chart 45">
          <a:extLst>
            <a:ext uri="{FF2B5EF4-FFF2-40B4-BE49-F238E27FC236}">
              <a16:creationId xmlns:a16="http://schemas.microsoft.com/office/drawing/2014/main" id="{7094F039-C985-4378-8E59-EDCBC2750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561975</xdr:colOff>
      <xdr:row>50</xdr:row>
      <xdr:rowOff>9525</xdr:rowOff>
    </xdr:from>
    <xdr:to>
      <xdr:col>31</xdr:col>
      <xdr:colOff>419099</xdr:colOff>
      <xdr:row>51</xdr:row>
      <xdr:rowOff>124574</xdr:rowOff>
    </xdr:to>
    <xdr:sp macro="" textlink="">
      <xdr:nvSpPr>
        <xdr:cNvPr id="47" name="TextBox 46">
          <a:extLst>
            <a:ext uri="{FF2B5EF4-FFF2-40B4-BE49-F238E27FC236}">
              <a16:creationId xmlns:a16="http://schemas.microsoft.com/office/drawing/2014/main" id="{14E76CC7-C030-650F-E17B-9AA8455E12DB}"/>
            </a:ext>
          </a:extLst>
        </xdr:cNvPr>
        <xdr:cNvSpPr txBox="1"/>
      </xdr:nvSpPr>
      <xdr:spPr>
        <a:xfrm>
          <a:off x="13363575" y="9534525"/>
          <a:ext cx="5953124" cy="3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a:solidFill>
                <a:schemeClr val="bg1">
                  <a:lumMod val="95000"/>
                </a:schemeClr>
              </a:solidFill>
              <a:latin typeface="Artifakt Element Book" panose="020B0503050000020004" pitchFamily="34" charset="0"/>
              <a:ea typeface="Artifakt Element Book" panose="020B0503050000020004" pitchFamily="34" charset="0"/>
            </a:rPr>
            <a:t>No.</a:t>
          </a:r>
          <a:r>
            <a:rPr lang="en-US" sz="2000" b="0" baseline="0">
              <a:solidFill>
                <a:schemeClr val="bg1">
                  <a:lumMod val="95000"/>
                </a:schemeClr>
              </a:solidFill>
              <a:latin typeface="Artifakt Element Book" panose="020B0503050000020004" pitchFamily="34" charset="0"/>
              <a:ea typeface="Artifakt Element Book" panose="020B0503050000020004" pitchFamily="34" charset="0"/>
            </a:rPr>
            <a:t> of Patients By Dept Referrals.</a:t>
          </a:r>
        </a:p>
      </xdr:txBody>
    </xdr:sp>
    <xdr:clientData/>
  </xdr:twoCellAnchor>
  <xdr:twoCellAnchor>
    <xdr:from>
      <xdr:col>0</xdr:col>
      <xdr:colOff>323847</xdr:colOff>
      <xdr:row>1</xdr:row>
      <xdr:rowOff>133350</xdr:rowOff>
    </xdr:from>
    <xdr:to>
      <xdr:col>6</xdr:col>
      <xdr:colOff>295274</xdr:colOff>
      <xdr:row>20</xdr:row>
      <xdr:rowOff>171450</xdr:rowOff>
    </xdr:to>
    <xdr:graphicFrame macro="">
      <xdr:nvGraphicFramePr>
        <xdr:cNvPr id="48" name="Chart 47">
          <a:extLst>
            <a:ext uri="{FF2B5EF4-FFF2-40B4-BE49-F238E27FC236}">
              <a16:creationId xmlns:a16="http://schemas.microsoft.com/office/drawing/2014/main" id="{C6C7E3E4-AA03-4DD1-840F-2677A327A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161925</xdr:colOff>
      <xdr:row>18</xdr:row>
      <xdr:rowOff>123825</xdr:rowOff>
    </xdr:from>
    <xdr:to>
      <xdr:col>5</xdr:col>
      <xdr:colOff>542925</xdr:colOff>
      <xdr:row>20</xdr:row>
      <xdr:rowOff>48374</xdr:rowOff>
    </xdr:to>
    <xdr:sp macro="" textlink="">
      <xdr:nvSpPr>
        <xdr:cNvPr id="49" name="TextBox 48">
          <a:extLst>
            <a:ext uri="{FF2B5EF4-FFF2-40B4-BE49-F238E27FC236}">
              <a16:creationId xmlns:a16="http://schemas.microsoft.com/office/drawing/2014/main" id="{1D198815-FE61-42E1-BDD9-E23233CFC808}"/>
            </a:ext>
          </a:extLst>
        </xdr:cNvPr>
        <xdr:cNvSpPr txBox="1"/>
      </xdr:nvSpPr>
      <xdr:spPr>
        <a:xfrm>
          <a:off x="771525" y="3552825"/>
          <a:ext cx="2819400" cy="3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b="0">
              <a:solidFill>
                <a:schemeClr val="bg1">
                  <a:lumMod val="95000"/>
                </a:schemeClr>
              </a:solidFill>
              <a:latin typeface="Artifakt Element Book" panose="020B0503050000020004" pitchFamily="34" charset="0"/>
              <a:ea typeface="Artifakt Element Book" panose="020B0503050000020004" pitchFamily="34" charset="0"/>
            </a:rPr>
            <a:t>Patient attended in-time.</a:t>
          </a:r>
          <a:endParaRPr lang="en-US" sz="1800" b="0" baseline="0">
            <a:solidFill>
              <a:schemeClr val="bg1">
                <a:lumMod val="95000"/>
              </a:schemeClr>
            </a:solidFill>
            <a:latin typeface="Artifakt Element Book" panose="020B0503050000020004" pitchFamily="34" charset="0"/>
            <a:ea typeface="Artifakt Element Book" panose="020B0503050000020004" pitchFamily="34" charset="0"/>
          </a:endParaRPr>
        </a:p>
      </xdr:txBody>
    </xdr:sp>
    <xdr:clientData/>
  </xdr:twoCellAnchor>
  <xdr:twoCellAnchor>
    <xdr:from>
      <xdr:col>26</xdr:col>
      <xdr:colOff>380999</xdr:colOff>
      <xdr:row>1</xdr:row>
      <xdr:rowOff>66674</xdr:rowOff>
    </xdr:from>
    <xdr:to>
      <xdr:col>32</xdr:col>
      <xdr:colOff>352424</xdr:colOff>
      <xdr:row>21</xdr:row>
      <xdr:rowOff>38099</xdr:rowOff>
    </xdr:to>
    <xdr:graphicFrame macro="">
      <xdr:nvGraphicFramePr>
        <xdr:cNvPr id="50" name="Chart 49">
          <a:extLst>
            <a:ext uri="{FF2B5EF4-FFF2-40B4-BE49-F238E27FC236}">
              <a16:creationId xmlns:a16="http://schemas.microsoft.com/office/drawing/2014/main" id="{4F79278B-C686-4386-9501-6172464CA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21</xdr:col>
      <xdr:colOff>523876</xdr:colOff>
      <xdr:row>5</xdr:row>
      <xdr:rowOff>9525</xdr:rowOff>
    </xdr:from>
    <xdr:to>
      <xdr:col>26</xdr:col>
      <xdr:colOff>19048</xdr:colOff>
      <xdr:row>10</xdr:row>
      <xdr:rowOff>171451</xdr:rowOff>
    </xdr:to>
    <mc:AlternateContent xmlns:mc="http://schemas.openxmlformats.org/markup-compatibility/2006">
      <mc:Choice xmlns:a14="http://schemas.microsoft.com/office/drawing/2010/main" Requires="a14">
        <xdr:graphicFrame macro="">
          <xdr:nvGraphicFramePr>
            <xdr:cNvPr id="51" name="Date (Year)">
              <a:extLst>
                <a:ext uri="{FF2B5EF4-FFF2-40B4-BE49-F238E27FC236}">
                  <a16:creationId xmlns:a16="http://schemas.microsoft.com/office/drawing/2014/main" id="{8BCBDBB4-B1C1-44CD-878A-1A58409955E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3395050" y="962025"/>
              <a:ext cx="2559737" cy="1114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38099</xdr:colOff>
      <xdr:row>2</xdr:row>
      <xdr:rowOff>123825</xdr:rowOff>
    </xdr:from>
    <xdr:to>
      <xdr:col>25</xdr:col>
      <xdr:colOff>561975</xdr:colOff>
      <xdr:row>5</xdr:row>
      <xdr:rowOff>104775</xdr:rowOff>
    </xdr:to>
    <xdr:sp macro="" textlink="">
      <xdr:nvSpPr>
        <xdr:cNvPr id="52" name="TextBox 51">
          <a:extLst>
            <a:ext uri="{FF2B5EF4-FFF2-40B4-BE49-F238E27FC236}">
              <a16:creationId xmlns:a16="http://schemas.microsoft.com/office/drawing/2014/main" id="{EB9AAE26-0822-4D0F-95CC-39400A81B0A2}"/>
            </a:ext>
          </a:extLst>
        </xdr:cNvPr>
        <xdr:cNvSpPr txBox="1"/>
      </xdr:nvSpPr>
      <xdr:spPr>
        <a:xfrm>
          <a:off x="13449299" y="504825"/>
          <a:ext cx="235267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a:solidFill>
                <a:schemeClr val="bg1">
                  <a:lumMod val="95000"/>
                </a:schemeClr>
              </a:solidFill>
              <a:latin typeface="Arial Black" panose="020B0A04020102020204" pitchFamily="34" charset="0"/>
              <a:ea typeface="Artifakt Element Book" panose="020B0503050000020004" pitchFamily="34" charset="0"/>
            </a:rPr>
            <a:t>Select Year</a:t>
          </a:r>
        </a:p>
      </xdr:txBody>
    </xdr:sp>
    <xdr:clientData/>
  </xdr:twoCellAnchor>
  <xdr:twoCellAnchor>
    <xdr:from>
      <xdr:col>27</xdr:col>
      <xdr:colOff>190500</xdr:colOff>
      <xdr:row>18</xdr:row>
      <xdr:rowOff>123825</xdr:rowOff>
    </xdr:from>
    <xdr:to>
      <xdr:col>31</xdr:col>
      <xdr:colOff>571500</xdr:colOff>
      <xdr:row>20</xdr:row>
      <xdr:rowOff>48374</xdr:rowOff>
    </xdr:to>
    <xdr:sp macro="" textlink="">
      <xdr:nvSpPr>
        <xdr:cNvPr id="53" name="TextBox 52">
          <a:extLst>
            <a:ext uri="{FF2B5EF4-FFF2-40B4-BE49-F238E27FC236}">
              <a16:creationId xmlns:a16="http://schemas.microsoft.com/office/drawing/2014/main" id="{66BDCB49-0371-48DD-B8A3-B4768BD686F2}"/>
            </a:ext>
          </a:extLst>
        </xdr:cNvPr>
        <xdr:cNvSpPr txBox="1"/>
      </xdr:nvSpPr>
      <xdr:spPr>
        <a:xfrm>
          <a:off x="16649700" y="3552825"/>
          <a:ext cx="2819400" cy="3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b="0">
              <a:solidFill>
                <a:schemeClr val="bg1">
                  <a:lumMod val="95000"/>
                </a:schemeClr>
              </a:solidFill>
              <a:latin typeface="Artifakt Element Book" panose="020B0503050000020004" pitchFamily="34" charset="0"/>
              <a:ea typeface="Artifakt Element Book" panose="020B0503050000020004" pitchFamily="34" charset="0"/>
            </a:rPr>
            <a:t>Patient By</a:t>
          </a:r>
          <a:r>
            <a:rPr lang="en-US" sz="1800" b="0" baseline="0">
              <a:solidFill>
                <a:schemeClr val="bg1">
                  <a:lumMod val="95000"/>
                </a:schemeClr>
              </a:solidFill>
              <a:latin typeface="Artifakt Element Book" panose="020B0503050000020004" pitchFamily="34" charset="0"/>
              <a:ea typeface="Artifakt Element Book" panose="020B0503050000020004" pitchFamily="34" charset="0"/>
            </a:rPr>
            <a:t> Gender</a:t>
          </a:r>
          <a:r>
            <a:rPr lang="en-US" sz="1800" b="0">
              <a:solidFill>
                <a:schemeClr val="bg1">
                  <a:lumMod val="95000"/>
                </a:schemeClr>
              </a:solidFill>
              <a:latin typeface="Artifakt Element Book" panose="020B0503050000020004" pitchFamily="34" charset="0"/>
              <a:ea typeface="Artifakt Element Book" panose="020B0503050000020004" pitchFamily="34" charset="0"/>
            </a:rPr>
            <a:t>.</a:t>
          </a:r>
          <a:endParaRPr lang="en-US" sz="1800" b="0" baseline="0">
            <a:solidFill>
              <a:schemeClr val="bg1">
                <a:lumMod val="95000"/>
              </a:schemeClr>
            </a:solidFill>
            <a:latin typeface="Artifakt Element Book" panose="020B0503050000020004" pitchFamily="34" charset="0"/>
            <a:ea typeface="Artifakt Element Book" panose="020B0503050000020004" pitchFamily="34" charset="0"/>
          </a:endParaRPr>
        </a:p>
      </xdr:txBody>
    </xdr:sp>
    <xdr:clientData/>
  </xdr:twoCellAnchor>
  <xdr:twoCellAnchor>
    <xdr:from>
      <xdr:col>6</xdr:col>
      <xdr:colOff>133350</xdr:colOff>
      <xdr:row>22</xdr:row>
      <xdr:rowOff>9525</xdr:rowOff>
    </xdr:from>
    <xdr:to>
      <xdr:col>9</xdr:col>
      <xdr:colOff>371475</xdr:colOff>
      <xdr:row>24</xdr:row>
      <xdr:rowOff>47625</xdr:rowOff>
    </xdr:to>
    <xdr:sp macro="" textlink="">
      <xdr:nvSpPr>
        <xdr:cNvPr id="54" name="TextBox 53">
          <a:extLst>
            <a:ext uri="{FF2B5EF4-FFF2-40B4-BE49-F238E27FC236}">
              <a16:creationId xmlns:a16="http://schemas.microsoft.com/office/drawing/2014/main" id="{26EAEDE1-EA58-BDE1-7A26-0BC2B4BC0640}"/>
            </a:ext>
          </a:extLst>
        </xdr:cNvPr>
        <xdr:cNvSpPr txBox="1"/>
      </xdr:nvSpPr>
      <xdr:spPr>
        <a:xfrm>
          <a:off x="3790950" y="4200525"/>
          <a:ext cx="20669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tx2">
                  <a:lumMod val="50000"/>
                  <a:lumOff val="50000"/>
                </a:schemeClr>
              </a:solidFill>
              <a:latin typeface="Arial Black" panose="020B0A04020102020204" pitchFamily="34" charset="0"/>
            </a:rPr>
            <a:t>Status</a:t>
          </a:r>
        </a:p>
      </xdr:txBody>
    </xdr:sp>
    <xdr:clientData/>
  </xdr:twoCellAnchor>
  <xdr:twoCellAnchor>
    <xdr:from>
      <xdr:col>9</xdr:col>
      <xdr:colOff>552450</xdr:colOff>
      <xdr:row>22</xdr:row>
      <xdr:rowOff>9525</xdr:rowOff>
    </xdr:from>
    <xdr:to>
      <xdr:col>13</xdr:col>
      <xdr:colOff>180975</xdr:colOff>
      <xdr:row>24</xdr:row>
      <xdr:rowOff>47625</xdr:rowOff>
    </xdr:to>
    <xdr:sp macro="" textlink="">
      <xdr:nvSpPr>
        <xdr:cNvPr id="55" name="TextBox 54">
          <a:extLst>
            <a:ext uri="{FF2B5EF4-FFF2-40B4-BE49-F238E27FC236}">
              <a16:creationId xmlns:a16="http://schemas.microsoft.com/office/drawing/2014/main" id="{A46011C5-7D2A-4AED-AC39-1D981184B00B}"/>
            </a:ext>
          </a:extLst>
        </xdr:cNvPr>
        <xdr:cNvSpPr txBox="1"/>
      </xdr:nvSpPr>
      <xdr:spPr>
        <a:xfrm>
          <a:off x="6038850" y="4200525"/>
          <a:ext cx="20669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tx2">
                  <a:lumMod val="50000"/>
                  <a:lumOff val="50000"/>
                </a:schemeClr>
              </a:solidFill>
              <a:latin typeface="Arial Black" panose="020B0A04020102020204" pitchFamily="34" charset="0"/>
            </a:rPr>
            <a:t>Patients</a:t>
          </a:r>
        </a:p>
      </xdr:txBody>
    </xdr:sp>
    <xdr:clientData/>
  </xdr:twoCellAnchor>
  <xdr:twoCellAnchor>
    <xdr:from>
      <xdr:col>13</xdr:col>
      <xdr:colOff>95250</xdr:colOff>
      <xdr:row>22</xdr:row>
      <xdr:rowOff>9525</xdr:rowOff>
    </xdr:from>
    <xdr:to>
      <xdr:col>16</xdr:col>
      <xdr:colOff>333375</xdr:colOff>
      <xdr:row>24</xdr:row>
      <xdr:rowOff>47625</xdr:rowOff>
    </xdr:to>
    <xdr:sp macro="" textlink="">
      <xdr:nvSpPr>
        <xdr:cNvPr id="56" name="TextBox 55">
          <a:extLst>
            <a:ext uri="{FF2B5EF4-FFF2-40B4-BE49-F238E27FC236}">
              <a16:creationId xmlns:a16="http://schemas.microsoft.com/office/drawing/2014/main" id="{33BDE83D-9A13-8553-2C98-DFE77B400445}"/>
            </a:ext>
          </a:extLst>
        </xdr:cNvPr>
        <xdr:cNvSpPr txBox="1"/>
      </xdr:nvSpPr>
      <xdr:spPr>
        <a:xfrm>
          <a:off x="8020050" y="4200525"/>
          <a:ext cx="20669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2">
                  <a:lumMod val="50000"/>
                  <a:lumOff val="50000"/>
                </a:schemeClr>
              </a:solidFill>
              <a:latin typeface="Arial Black" panose="020B0A04020102020204" pitchFamily="34" charset="0"/>
            </a:rPr>
            <a:t>Total In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552450</xdr:colOff>
      <xdr:row>51</xdr:row>
      <xdr:rowOff>85725</xdr:rowOff>
    </xdr:to>
    <xdr:graphicFrame macro="">
      <xdr:nvGraphicFramePr>
        <xdr:cNvPr id="2" name="Chart 1">
          <a:extLst>
            <a:ext uri="{FF2B5EF4-FFF2-40B4-BE49-F238E27FC236}">
              <a16:creationId xmlns:a16="http://schemas.microsoft.com/office/drawing/2014/main" id="{1BB9933A-01C9-4779-9404-47C30A8D9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0.00246</cdr:x>
      <cdr:y>0.00518</cdr:y>
    </cdr:from>
    <cdr:to>
      <cdr:x>0.0467</cdr:x>
      <cdr:y>0.09848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574BA0-DB4C-D6D6-0E7C-F96F1317EE9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95250</xdr:colOff>
      <xdr:row>0</xdr:row>
      <xdr:rowOff>85725</xdr:rowOff>
    </xdr:from>
    <xdr:to>
      <xdr:col>33</xdr:col>
      <xdr:colOff>419100</xdr:colOff>
      <xdr:row>48</xdr:row>
      <xdr:rowOff>57150</xdr:rowOff>
    </xdr:to>
    <xdr:graphicFrame macro="">
      <xdr:nvGraphicFramePr>
        <xdr:cNvPr id="2" name="Chart 1">
          <a:extLst>
            <a:ext uri="{FF2B5EF4-FFF2-40B4-BE49-F238E27FC236}">
              <a16:creationId xmlns:a16="http://schemas.microsoft.com/office/drawing/2014/main" id="{E5173E0E-645D-4A23-B536-931091269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0.04473</cdr:x>
      <cdr:y>0.10031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FD3C8D3-510F-85AE-0C8B-1100D34F92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552450</xdr:colOff>
      <xdr:row>49</xdr:row>
      <xdr:rowOff>85725</xdr:rowOff>
    </xdr:to>
    <xdr:graphicFrame macro="">
      <xdr:nvGraphicFramePr>
        <xdr:cNvPr id="2" name="Chart 1">
          <a:extLst>
            <a:ext uri="{FF2B5EF4-FFF2-40B4-BE49-F238E27FC236}">
              <a16:creationId xmlns:a16="http://schemas.microsoft.com/office/drawing/2014/main" id="{5610D322-AACA-41B3-9745-4970BF0EB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304800</xdr:colOff>
      <xdr:row>4</xdr:row>
      <xdr:rowOff>152400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CD426C8A-145B-4BEA-B200-B9369CF42C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460648" createdVersion="5" refreshedVersion="8" minRefreshableVersion="3" recordCount="0" supportSubquery="1" supportAdvancedDrill="1" xr:uid="{87AC0334-E1B9-438C-BB44-FE0E0827B7A4}">
  <cacheSource type="external" connectionId="3"/>
  <cacheFields count="4">
    <cacheField name="[Measures].[Count of Patient Id]" caption="Count of Patient Id" numFmtId="0" hierarchy="23" level="32767"/>
    <cacheField name="[Query1].[Date (Day)].[Date (Day)]" caption="Date (Day)" numFmtId="0" hierarchy="15"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2-Jan" u="1"/>
      </sharedItems>
    </cacheField>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2"/>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1"/>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4722219" createdVersion="5" refreshedVersion="8" minRefreshableVersion="3" recordCount="0" supportSubquery="1" supportAdvancedDrill="1" xr:uid="{0C393962-C5D9-45A0-9F52-FB105B593C8B}">
  <cacheSource type="external" connectionId="3"/>
  <cacheFields count="3">
    <cacheField name="[Measures].[Count of Patient Id]" caption="Count of Patient Id" numFmtId="0" hierarchy="23"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4837965" createdVersion="5" refreshedVersion="8" minRefreshableVersion="3" recordCount="0" supportSubquery="1" supportAdvancedDrill="1" xr:uid="{67A64E8F-54C2-4574-8435-FC5421A1420F}">
  <cacheSource type="external" connectionId="3"/>
  <cacheFields count="3">
    <cacheField name="[Measures].[Average of Patient Waittime]" caption="Average of Patient Waittime" numFmtId="0" hierarchy="25"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4837965" createdVersion="5" refreshedVersion="8" minRefreshableVersion="3" recordCount="0" supportSubquery="1" supportAdvancedDrill="1" xr:uid="{F4CDFB2E-5687-4332-B76C-48CA65F5D356}">
  <cacheSource type="external" connectionId="3"/>
  <cacheFields count="3">
    <cacheField name="[Measures].[Average of Patient Satisfaction Score]" caption="Average of Patient Satisfaction Score" numFmtId="0" hierarchy="28"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5185188" createdVersion="5" refreshedVersion="8" minRefreshableVersion="3" recordCount="0" supportSubquery="1" supportAdvancedDrill="1" xr:uid="{1E311E20-C990-41A0-9266-4D3E87A73A66}">
  <cacheSource type="external" connectionId="3"/>
  <cacheFields count="4">
    <cacheField name="[Query1].[Date (Day)].[Date (Day)]" caption="Date (Day)" numFmtId="0" hierarchy="15"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Query1].[Date (Month)].[Date (Month)]" caption="Date (Month)" numFmtId="0" hierarchy="14" level="1">
      <sharedItems containsSemiMixedTypes="0" containsNonDate="0" containsString="0"/>
    </cacheField>
    <cacheField name="[Measures].[Average of Patient Waittime]" caption="Average of Patient Waittime" numFmtId="0" hierarchy="25"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5532404" createdVersion="5" refreshedVersion="8" minRefreshableVersion="3" recordCount="0" supportSubquery="1" supportAdvancedDrill="1" xr:uid="{72C2544D-8BA3-41CF-A660-5D691F5FBEF1}">
  <cacheSource type="external" connectionId="3"/>
  <cacheFields count="4">
    <cacheField name="[Query1].[Date (Day)].[Date (Day)]" caption="Date (Day)" numFmtId="0" hierarchy="15"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Query1].[Date (Month)].[Date (Month)]" caption="Date (Month)" numFmtId="0" hierarchy="14" level="1">
      <sharedItems containsSemiMixedTypes="0" containsNonDate="0" containsString="0"/>
    </cacheField>
    <cacheField name="[Measures].[Average of Patient Satisfaction Score]" caption="Average of Patient Satisfaction Score" numFmtId="0" hierarchy="28"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5879627" createdVersion="5" refreshedVersion="8" minRefreshableVersion="3" recordCount="0" supportSubquery="1" supportAdvancedDrill="1" xr:uid="{2EFEA3A1-0B96-4445-89AC-26AC12B41012}">
  <cacheSource type="external" connectionId="3"/>
  <cacheFields count="5">
    <cacheField name="[Query1].[Date (Month)].[Date (Month)]" caption="Date (Month)" numFmtId="0" hierarchy="14" level="1">
      <sharedItems containsSemiMixedTypes="0" containsNonDate="0" containsString="0"/>
    </cacheField>
    <cacheField name="[Hospital Emergency Room Data].[Patient Admission Flag].[Patient Admission Flag]" caption="Patient Admission Flag" numFmtId="0" hierarchy="8" level="1">
      <sharedItems count="2">
        <s v="Admitted"/>
        <s v="Not Admitted"/>
      </sharedItems>
    </cacheField>
    <cacheField name="[Measures].[Count of Patient Admission Flag]" caption="Count of Patient Admission Flag" numFmtId="0" hierarchy="29" level="32767"/>
    <cacheField name="[Query1].[Date (Year)].[Date (Year)]" caption="Date (Year)" numFmtId="0" hierarchy="16"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6226851" createdVersion="5" refreshedVersion="8" minRefreshableVersion="3" recordCount="0" supportSubquery="1" supportAdvancedDrill="1" xr:uid="{04C78DF8-0D07-45F4-9D91-AF034D498F7E}">
  <cacheSource type="external" connectionId="3"/>
  <cacheFields count="4">
    <cacheField name="[Query1].[Date (Month)].[Date (Month)]" caption="Date (Month)" numFmtId="0" hierarchy="14" level="1">
      <sharedItems containsSemiMixedTypes="0" containsNonDate="0" containsString="0"/>
    </cacheField>
    <cacheField name="[Hospital Emergency Room Data].[Age Group].[Age Group]" caption="Age Group" numFmtId="0" hierarchy="11" level="1">
      <sharedItems count="8">
        <s v="00-09"/>
        <s v="10-19"/>
        <s v="20-29"/>
        <s v="30-39"/>
        <s v="40-49"/>
        <s v="50-59"/>
        <s v="60-69"/>
        <s v="70 above"/>
      </sharedItems>
    </cacheField>
    <cacheField name="[Measures].[Count of Age Group]" caption="Count of Age Group" numFmtId="0" hierarchy="30"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6574074" createdVersion="5" refreshedVersion="8" minRefreshableVersion="3" recordCount="0" supportSubquery="1" supportAdvancedDrill="1" xr:uid="{C688251D-F929-4FEE-8FCB-265EC2060C25}">
  <cacheSource type="external" connectionId="3"/>
  <cacheFields count="4">
    <cacheField name="[Query1].[Date (Month)].[Date (Month)]" caption="Date (Month)" numFmtId="0" hierarchy="14" level="1">
      <sharedItems containsSemiMixedTypes="0" containsNonDate="0" containsString="0"/>
    </cacheField>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6921297" createdVersion="5" refreshedVersion="8" minRefreshableVersion="3" recordCount="0" supportSubquery="1" supportAdvancedDrill="1" xr:uid="{BEBF15C8-BA36-4E10-A2B3-3DC892022B98}">
  <cacheSource type="external" connectionId="3"/>
  <cacheFields count="4">
    <cacheField name="[Query1].[Date (Month)].[Date (Month)]" caption="Date (Month)" numFmtId="0" hierarchy="14" level="1">
      <sharedItems containsSemiMixedTypes="0" containsNonDate="0" containsString="0"/>
    </cacheField>
    <cacheField name="[Hospital Emergency Room Data].[Calculated Column 1].[Calculated Column 1]" caption="Calculated Column 1" numFmtId="0" hierarchy="12" level="1">
      <sharedItems count="2">
        <s v="Delayed"/>
        <s v="On-Time"/>
      </sharedItems>
    </cacheField>
    <cacheField name="[Measures].[Count of Calculated Column 1]" caption="Count of Calculated Column 1" numFmtId="0" hierarchy="32"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726852" createdVersion="5" refreshedVersion="8" minRefreshableVersion="3" recordCount="0" supportSubquery="1" supportAdvancedDrill="1" xr:uid="{FDB37BF6-6079-4E4D-8C31-867ABE409DCB}">
  <cacheSource type="external" connectionId="3"/>
  <cacheFields count="4">
    <cacheField name="[Query1].[Date (Month)].[Date (Month)]" caption="Date (Month)" numFmtId="0" hierarchy="14" level="1">
      <sharedItems containsSemiMixedTypes="0" containsNonDate="0" containsString="0"/>
    </cacheField>
    <cacheField name="[Hospital Emergency Room Data].[Patient Gender].[Patient Gender]" caption="Patient Gender" numFmtId="0" hierarchy="4" level="1">
      <sharedItems count="2">
        <s v="Female"/>
        <s v="Male"/>
      </sharedItems>
    </cacheField>
    <cacheField name="[Measures].[Count of Patient Gender]" caption="Count of Patient Gender" numFmtId="0" hierarchy="33"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83037731482" createdVersion="5" refreshedVersion="8" minRefreshableVersion="3" recordCount="0" supportSubquery="1" supportAdvancedDrill="1" xr:uid="{D9A5316E-A495-4659-A936-BC9406899A34}">
  <cacheSource type="external" connectionId="3"/>
  <cacheFields count="4">
    <cacheField name="[Query1].[Date (Month)].[Date (Month)]" caption="Date (Month)" numFmtId="0" hierarchy="14" level="1">
      <sharedItems count="1">
        <s v="Jun"/>
      </sharedItems>
    </cacheField>
    <cacheField name="[Query1].[Date].[Date]" caption="Date" numFmtId="0" hierarchy="13"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Query1].[Date (Quarter)].[Date (Quarter)]" caption="Date (Quarter)" numFmtId="0" hierarchy="17" level="1">
      <sharedItems count="1">
        <s v="Qtr2"/>
      </sharedItems>
    </cacheField>
    <cacheField name="[Query1].[Date (Year)].[Date (Year)]" caption="Date (Year)" numFmtId="0" hierarchy="16" level="1">
      <sharedItems count="1">
        <s v="2023"/>
      </sharedItems>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Query1].[Date]" caption="Date" attribute="1" time="1" defaultMemberUniqueName="[Query1].[Date].[All]" allUniqueName="[Query1].[Date].[All]" dimensionUniqueName="[Query1]" displayFolder="" count="2" memberValueDatatype="7" unbalanced="0">
      <fieldsUsage count="2">
        <fieldUsage x="-1"/>
        <fieldUsage x="1"/>
      </fieldsUsage>
    </cacheHierarchy>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2"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2" memberValueDatatype="130" unbalanced="0">
      <fieldsUsage count="2">
        <fieldUsage x="-1"/>
        <fieldUsage x="2"/>
      </fieldsUsage>
    </cacheHierarchy>
    <cacheHierarchy uniqueName="[Query1].[Date (Day Index)]" caption="Date (Day Index)" attribute="1" defaultMemberUniqueName="[Query1].[Date (Day Index)].[All]" allUniqueName="[Query1].[Date (Day Index)].[All]" dimensionUniqueName="[Query1]" displayFolder="" count="2" memberValueDatatype="5" unbalanced="0" hidden="1"/>
    <cacheHierarchy uniqueName="[Query1].[Date (Month Index)]" caption="Date (Month Index)" attribute="1" defaultMemberUniqueName="[Query1].[Date (Month Index)].[All]" allUniqueName="[Query1].[Date (Month Index)].[All]" dimensionUniqueName="[Query1]"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nnect2Aryans" refreshedDate="46204.715969444442" createdVersion="3" refreshedVersion="8" minRefreshableVersion="3" recordCount="0" supportSubquery="1" supportAdvancedDrill="1" xr:uid="{22DAD52B-FE9F-4761-AB15-5902D486473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Max of Patient Satisfaction Score]" caption="Max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060219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E4464-6461-4F7B-97DB-8CB7DF0B0844}" name="PivotTable12" cacheId="3068"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chartFormat="18">
  <location ref="A85:A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3"/>
    <field x="2"/>
    <field x="0"/>
    <field x="1"/>
  </rowFields>
  <rowItems count="2">
    <i>
      <x/>
    </i>
    <i t="grand">
      <x/>
    </i>
  </rowItems>
  <formats count="1">
    <format dxfId="24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2CD88-5DF9-452C-9DCB-6CAEDB02FE61}" name="PivotTable11" cacheId="3065"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chartFormat="18">
  <location ref="A79:B8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44">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0DC24-5FDC-40B6-952B-285F4669DBFC}" name="PivotTable10" cacheId="3062"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chartFormat="13">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1">
    <format dxfId="245">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3AAA2-9137-4969-9A33-FF637196FD24}" name="PivotTable9" cacheId="3059"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chartFormat="8">
  <location ref="A61:B7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Patient Id" fld="2" subtotal="count" baseField="0" baseItem="0"/>
  </dataFields>
  <formats count="1">
    <format dxfId="24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9145CF-9FBE-4206-91B9-AF86E4135217}" name="PivotTable8" cacheId="3056"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chartFormat="4">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48">
      <pivotArea outline="0" collapsedLevelsAreSubtotals="1" fieldPosition="0"/>
    </format>
    <format dxfId="247">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0D107-963E-4E0D-A07D-C13ACD8CFE47}" name="PivotTable7" cacheId="3053" applyNumberFormats="0" applyBorderFormats="0" applyFontFormats="0" applyPatternFormats="0" applyAlignmentFormats="0" applyWidthHeightFormats="1" dataCaption="Values" tag="abb2c53d-650e-4dc9-8fe3-a6ef0fffcd95" updatedVersion="8" minRefreshableVersion="3" subtotalHiddenItems="1" itemPrintTitles="1" createdVersion="5" indent="0" outline="1" outlineData="1" multipleFieldFilters="0" chartFormat="6">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E6875-612F-49DA-913C-F07537992065}" name="PivotTable6" cacheId="3050" applyNumberFormats="0" applyBorderFormats="0" applyFontFormats="0" applyPatternFormats="0" applyAlignmentFormats="0" applyWidthHeightFormats="1" dataCaption="Values" tag="abb2c53d-650e-4dc9-8fe3-a6ef0fffcd95" updatedVersion="8" minRefreshableVersion="3" subtotalHiddenItems="1" itemPrintTitles="1" createdVersion="5" indent="0" outline="1" outlineData="1" multipleFieldFilters="0" chartFormat="15">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49">
      <pivotArea collapsedLevelsAreSubtotals="1" fieldPosition="0">
        <references count="1">
          <reference field="0" count="0"/>
        </references>
      </pivotArea>
    </format>
  </format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ACDC60-818B-4B1E-B320-AF7627B0B454}" name="PivotTable5" cacheId="3047" applyNumberFormats="0" applyBorderFormats="0" applyFontFormats="0" applyPatternFormats="0" applyAlignmentFormats="0" applyWidthHeightFormats="1" dataCaption="Values" tag="abb2c53d-650e-4dc9-8fe3-a6ef0fffcd95" updatedVersion="8" minRefreshableVersion="3" subtotalHiddenItems="1" itemPrintTitles="1" createdVersion="5" indent="0" outline="1" outlineData="1" multipleFieldFilters="0" chartFormat="1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50">
      <pivotArea collapsedLevelsAreSubtotals="1" fieldPosition="0">
        <references count="1">
          <reference field="0" count="0"/>
        </references>
      </pivotArea>
    </format>
  </formats>
  <chartFormats count="3">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079AEB-0908-424D-820A-282541F863DF}" name="PivotTable2" cacheId="3035" applyNumberFormats="0" applyBorderFormats="0" applyFontFormats="0" applyPatternFormats="0" applyAlignmentFormats="0" applyWidthHeightFormats="1" dataCaption="Values" tag="abb2c53d-650e-4dc9-8fe3-a6ef0fffcd95" updatedVersion="8" minRefreshableVersion="3" subtotalHiddenItems="1" itemPrintTitles="1" createdVersion="5" indent="0" outline="1" outlineData="1" multipleFieldFilters="0" chartFormat="9">
  <location ref="D4:E36"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3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74D277-AEAC-472E-A0D2-1573A2638289}" name="PivotTable4" cacheId="3044" applyNumberFormats="0" applyBorderFormats="0" applyFontFormats="0" applyPatternFormats="0" applyAlignmentFormats="0" applyWidthHeightFormats="1" dataCaption="Values" tag="bcb9f51c-1b9f-47be-a24c-72dec94aa85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Max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95D554-6CB2-4DEC-8219-1640A5CE9606}" name="PivotTable3" cacheId="3041" applyNumberFormats="0" applyBorderFormats="0" applyFontFormats="0" applyPatternFormats="0" applyAlignmentFormats="0" applyWidthHeightFormats="1" dataCaption="Values" tag="0f572a3c-9a4c-43a3-b758-3b53945dcb9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5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89D2AA-7C99-42DC-A98A-564A9CE2DAFC}" name="PivotTable1" cacheId="3038" applyNumberFormats="0" applyBorderFormats="0" applyFontFormats="0" applyPatternFormats="0" applyAlignmentFormats="0" applyWidthHeightFormats="1" dataCaption="Values" tag="70856f18-1b27-4d61-a812-4ae6b74076b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ul]"/>
      </members>
    </pivotHierarchy>
    <pivotHierarchy dragToData="1"/>
    <pivotHierarchy multipleItemSelectionAllowed="1" dragToData="1">
      <members count="1" level="1">
        <member name="[Query1].[Date (Year)].&amp;[2023]"/>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966DBCD-AEED-480A-9BA6-701B2EC22AE8}" sourceName="[Query1].[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06021975">
      <levels count="2">
        <level uniqueName="[Query1].[Date (Month)].[(All)]" sourceCaption="(All)" count="0"/>
        <level uniqueName="[Query1].[Date (Month)].[Date (Month)]" sourceCaption="Date (Month)" count="12">
          <ranges>
            <range startItem="0">
              <i n="[Query1].[Date (Month)].&amp;[Apr]" c="Apr"/>
              <i n="[Query1].[Date (Month)].&amp;[May]" c="May"/>
              <i n="[Query1].[Date (Month)].&amp;[Jun]" c="Jun"/>
              <i n="[Query1].[Date (Month)].&amp;[Jul]" c="Jul"/>
              <i n="[Query1].[Date (Month)].&amp;[Aug]" c="Aug"/>
              <i n="[Query1].[Date (Month)].&amp;[Sep]" c="Sep"/>
              <i n="[Query1].[Date (Month)].&amp;[Oct]" c="Oct"/>
              <i n="[Query1].[Date (Month)].&amp;[Nov]" c="Nov"/>
              <i n="[Query1].[Date (Month)].&amp;[Dec]" c="Dec"/>
              <i n="[Query1].[Date (Month)].&amp;[Jan]" c="Jan"/>
              <i n="[Query1].[Date (Month)].&amp;[Feb]" c="Feb"/>
              <i n="[Query1].[Date (Month)].&amp;[Mar]" c="Mar"/>
            </range>
          </ranges>
        </level>
      </levels>
      <selections count="1">
        <selection n="[Query1].[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A9D22BF-E771-462C-9F20-5F855735AC7B}" sourceName="[Query1].[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06021975">
      <levels count="2">
        <level uniqueName="[Query1].[Date (Year)].[(All)]" sourceCaption="(All)" count="0"/>
        <level uniqueName="[Query1].[Date (Year)].[Date (Year)]" sourceCaption="Date (Year)" count="2">
          <ranges>
            <range startItem="0">
              <i n="[Query1].[Date (Year)].&amp;[2023]" c="2023"/>
              <i n="[Query1].[Date (Year)].&amp;[2024]" c="2024"/>
            </range>
          </ranges>
        </level>
      </levels>
      <selections count="1">
        <selection n="[Query1].[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3B3864D-D169-4AC2-B2E8-1640EC689F67}" cache="Slicer_Date__Month" caption="Date (Month)" columnCount="6" showCaption="0" level="1" style="SlicerStyleLight1 2" rowHeight="548640"/>
  <slicer name="Date (Year)" xr10:uid="{6AEB8822-BE2F-45BC-878B-0C7AC87740C3}" cache="Slicer_Date__Year" caption="Date (Year)" showCaption="0" level="1" style="SlicerStyleLight1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38A9-73A1-4D5C-812F-F65202282F2B}">
  <dimension ref="A4:K87"/>
  <sheetViews>
    <sheetView zoomScale="55" zoomScaleNormal="55" workbookViewId="0">
      <selection activeCell="A5" sqref="A5"/>
    </sheetView>
  </sheetViews>
  <sheetFormatPr defaultRowHeight="15" x14ac:dyDescent="0.25"/>
  <cols>
    <col min="1" max="1" width="34.85546875" bestFit="1" customWidth="1"/>
    <col min="2" max="2" width="30.28515625" bestFit="1" customWidth="1"/>
    <col min="3" max="3" width="31.28515625" bestFit="1" customWidth="1"/>
    <col min="4" max="4" width="30.28515625" customWidth="1"/>
    <col min="5" max="5" width="18.140625" bestFit="1" customWidth="1"/>
    <col min="7" max="7" width="13.42578125" bestFit="1" customWidth="1"/>
    <col min="8" max="8" width="26.5703125" bestFit="1" customWidth="1"/>
    <col min="10" max="10" width="13.42578125" bestFit="1" customWidth="1"/>
    <col min="11" max="11" width="26.5703125" bestFit="1" customWidth="1"/>
  </cols>
  <sheetData>
    <row r="4" spans="1:11" x14ac:dyDescent="0.25">
      <c r="A4" t="s">
        <v>0</v>
      </c>
      <c r="D4" s="3" t="s">
        <v>3</v>
      </c>
      <c r="E4" t="s">
        <v>0</v>
      </c>
      <c r="G4" s="3" t="s">
        <v>3</v>
      </c>
      <c r="H4" t="s">
        <v>1</v>
      </c>
      <c r="J4" s="3" t="s">
        <v>3</v>
      </c>
      <c r="K4" t="s">
        <v>2</v>
      </c>
    </row>
    <row r="5" spans="1:11" x14ac:dyDescent="0.25">
      <c r="A5" s="1">
        <v>464</v>
      </c>
      <c r="D5" s="4" t="s">
        <v>6</v>
      </c>
      <c r="E5" s="1">
        <v>15</v>
      </c>
      <c r="G5" s="4" t="s">
        <v>6</v>
      </c>
      <c r="H5" s="2">
        <v>38.200000000000003</v>
      </c>
      <c r="J5" s="4" t="s">
        <v>6</v>
      </c>
      <c r="K5" s="2">
        <v>2</v>
      </c>
    </row>
    <row r="6" spans="1:11" x14ac:dyDescent="0.25">
      <c r="D6" s="4" t="s">
        <v>7</v>
      </c>
      <c r="E6" s="1">
        <v>9</v>
      </c>
      <c r="G6" s="4" t="s">
        <v>7</v>
      </c>
      <c r="H6" s="2">
        <v>32.444444444444443</v>
      </c>
      <c r="J6" s="4" t="s">
        <v>7</v>
      </c>
      <c r="K6" s="2">
        <v>6.5</v>
      </c>
    </row>
    <row r="7" spans="1:11" x14ac:dyDescent="0.25">
      <c r="D7" s="4" t="s">
        <v>8</v>
      </c>
      <c r="E7" s="1">
        <v>16</v>
      </c>
      <c r="G7" s="4" t="s">
        <v>8</v>
      </c>
      <c r="H7" s="2">
        <v>37.875</v>
      </c>
      <c r="J7" s="4" t="s">
        <v>8</v>
      </c>
      <c r="K7" s="2">
        <v>2.5</v>
      </c>
    </row>
    <row r="8" spans="1:11" x14ac:dyDescent="0.25">
      <c r="A8" t="s">
        <v>1</v>
      </c>
      <c r="D8" s="4" t="s">
        <v>9</v>
      </c>
      <c r="E8" s="1">
        <v>16</v>
      </c>
      <c r="G8" s="4" t="s">
        <v>9</v>
      </c>
      <c r="H8" s="2">
        <v>34.125</v>
      </c>
      <c r="J8" s="4" t="s">
        <v>9</v>
      </c>
      <c r="K8" s="2">
        <v>2</v>
      </c>
    </row>
    <row r="9" spans="1:11" x14ac:dyDescent="0.25">
      <c r="A9" s="2">
        <v>34.719827586206897</v>
      </c>
      <c r="D9" s="4" t="s">
        <v>10</v>
      </c>
      <c r="E9" s="1">
        <v>8</v>
      </c>
      <c r="G9" s="4" t="s">
        <v>10</v>
      </c>
      <c r="H9" s="2">
        <v>24.5</v>
      </c>
      <c r="J9" s="4" t="s">
        <v>10</v>
      </c>
      <c r="K9" s="2">
        <v>2</v>
      </c>
    </row>
    <row r="10" spans="1:11" x14ac:dyDescent="0.25">
      <c r="D10" s="4" t="s">
        <v>11</v>
      </c>
      <c r="E10" s="1">
        <v>12</v>
      </c>
      <c r="G10" s="4" t="s">
        <v>11</v>
      </c>
      <c r="H10" s="2">
        <v>34.666666666666664</v>
      </c>
      <c r="J10" s="4" t="s">
        <v>11</v>
      </c>
      <c r="K10" s="2">
        <v>6</v>
      </c>
    </row>
    <row r="11" spans="1:11" x14ac:dyDescent="0.25">
      <c r="D11" s="4" t="s">
        <v>12</v>
      </c>
      <c r="E11" s="1">
        <v>15</v>
      </c>
      <c r="G11" s="4" t="s">
        <v>12</v>
      </c>
      <c r="H11" s="2">
        <v>38.333333333333336</v>
      </c>
      <c r="J11" s="4" t="s">
        <v>12</v>
      </c>
      <c r="K11" s="2">
        <v>4.5714285714285712</v>
      </c>
    </row>
    <row r="12" spans="1:11" x14ac:dyDescent="0.25">
      <c r="A12" t="s">
        <v>2</v>
      </c>
      <c r="D12" s="4" t="s">
        <v>13</v>
      </c>
      <c r="E12" s="1">
        <v>12</v>
      </c>
      <c r="G12" s="4" t="s">
        <v>13</v>
      </c>
      <c r="H12" s="2">
        <v>43.833333333333336</v>
      </c>
      <c r="J12" s="4" t="s">
        <v>13</v>
      </c>
      <c r="K12" s="2">
        <v>4.333333333333333</v>
      </c>
    </row>
    <row r="13" spans="1:11" x14ac:dyDescent="0.25">
      <c r="A13" s="2">
        <v>4.9913043478260866</v>
      </c>
      <c r="D13" s="4" t="s">
        <v>14</v>
      </c>
      <c r="E13" s="1">
        <v>16</v>
      </c>
      <c r="G13" s="4" t="s">
        <v>14</v>
      </c>
      <c r="H13" s="2">
        <v>30.9375</v>
      </c>
      <c r="J13" s="4" t="s">
        <v>14</v>
      </c>
      <c r="K13" s="2">
        <v>7</v>
      </c>
    </row>
    <row r="14" spans="1:11" x14ac:dyDescent="0.25">
      <c r="D14" s="4" t="s">
        <v>15</v>
      </c>
      <c r="E14" s="1">
        <v>17</v>
      </c>
      <c r="G14" s="4" t="s">
        <v>15</v>
      </c>
      <c r="H14" s="2">
        <v>34.941176470588232</v>
      </c>
      <c r="J14" s="4" t="s">
        <v>15</v>
      </c>
      <c r="K14" s="2">
        <v>7.666666666666667</v>
      </c>
    </row>
    <row r="15" spans="1:11" x14ac:dyDescent="0.25">
      <c r="D15" s="4" t="s">
        <v>16</v>
      </c>
      <c r="E15" s="1">
        <v>17</v>
      </c>
      <c r="G15" s="4" t="s">
        <v>16</v>
      </c>
      <c r="H15" s="2">
        <v>30.294117647058822</v>
      </c>
      <c r="J15" s="4" t="s">
        <v>16</v>
      </c>
      <c r="K15" s="2">
        <v>4.5</v>
      </c>
    </row>
    <row r="16" spans="1:11" x14ac:dyDescent="0.25">
      <c r="D16" s="4" t="s">
        <v>17</v>
      </c>
      <c r="E16" s="1">
        <v>14</v>
      </c>
      <c r="G16" s="4" t="s">
        <v>17</v>
      </c>
      <c r="H16" s="2">
        <v>32.428571428571431</v>
      </c>
      <c r="J16" s="4" t="s">
        <v>17</v>
      </c>
      <c r="K16" s="2">
        <v>4</v>
      </c>
    </row>
    <row r="17" spans="4:11" x14ac:dyDescent="0.25">
      <c r="D17" s="4" t="s">
        <v>18</v>
      </c>
      <c r="E17" s="1">
        <v>20</v>
      </c>
      <c r="G17" s="4" t="s">
        <v>18</v>
      </c>
      <c r="H17" s="2">
        <v>31.1</v>
      </c>
      <c r="J17" s="4" t="s">
        <v>18</v>
      </c>
      <c r="K17" s="2">
        <v>5.25</v>
      </c>
    </row>
    <row r="18" spans="4:11" x14ac:dyDescent="0.25">
      <c r="D18" s="4" t="s">
        <v>19</v>
      </c>
      <c r="E18" s="1">
        <v>15</v>
      </c>
      <c r="G18" s="4" t="s">
        <v>19</v>
      </c>
      <c r="H18" s="2">
        <v>34.333333333333336</v>
      </c>
      <c r="J18" s="4" t="s">
        <v>19</v>
      </c>
      <c r="K18" s="2">
        <v>3.5</v>
      </c>
    </row>
    <row r="19" spans="4:11" x14ac:dyDescent="0.25">
      <c r="D19" s="4" t="s">
        <v>20</v>
      </c>
      <c r="E19" s="1">
        <v>15</v>
      </c>
      <c r="G19" s="4" t="s">
        <v>20</v>
      </c>
      <c r="H19" s="2">
        <v>28.6</v>
      </c>
      <c r="J19" s="4" t="s">
        <v>20</v>
      </c>
      <c r="K19" s="2">
        <v>8.3333333333333339</v>
      </c>
    </row>
    <row r="20" spans="4:11" x14ac:dyDescent="0.25">
      <c r="D20" s="4" t="s">
        <v>21</v>
      </c>
      <c r="E20" s="1">
        <v>14</v>
      </c>
      <c r="G20" s="4" t="s">
        <v>21</v>
      </c>
      <c r="H20" s="2">
        <v>32</v>
      </c>
      <c r="J20" s="4" t="s">
        <v>21</v>
      </c>
      <c r="K20" s="2">
        <v>4.5</v>
      </c>
    </row>
    <row r="21" spans="4:11" x14ac:dyDescent="0.25">
      <c r="D21" s="4" t="s">
        <v>22</v>
      </c>
      <c r="E21" s="1">
        <v>16</v>
      </c>
      <c r="G21" s="4" t="s">
        <v>22</v>
      </c>
      <c r="H21" s="2">
        <v>37.625</v>
      </c>
      <c r="J21" s="4" t="s">
        <v>22</v>
      </c>
      <c r="K21" s="2">
        <v>5</v>
      </c>
    </row>
    <row r="22" spans="4:11" x14ac:dyDescent="0.25">
      <c r="D22" s="4" t="s">
        <v>23</v>
      </c>
      <c r="E22" s="1">
        <v>14</v>
      </c>
      <c r="G22" s="4" t="s">
        <v>23</v>
      </c>
      <c r="H22" s="2">
        <v>37.785714285714285</v>
      </c>
      <c r="J22" s="4" t="s">
        <v>23</v>
      </c>
      <c r="K22" s="2">
        <v>1</v>
      </c>
    </row>
    <row r="23" spans="4:11" x14ac:dyDescent="0.25">
      <c r="D23" s="4" t="s">
        <v>24</v>
      </c>
      <c r="E23" s="1">
        <v>16</v>
      </c>
      <c r="G23" s="4" t="s">
        <v>24</v>
      </c>
      <c r="H23" s="2">
        <v>36.375</v>
      </c>
      <c r="J23" s="4" t="s">
        <v>24</v>
      </c>
      <c r="K23" s="2">
        <v>5.6</v>
      </c>
    </row>
    <row r="24" spans="4:11" x14ac:dyDescent="0.25">
      <c r="D24" s="4" t="s">
        <v>25</v>
      </c>
      <c r="E24" s="1">
        <v>14</v>
      </c>
      <c r="G24" s="4" t="s">
        <v>25</v>
      </c>
      <c r="H24" s="2">
        <v>38.857142857142854</v>
      </c>
      <c r="J24" s="4" t="s">
        <v>25</v>
      </c>
      <c r="K24" s="2">
        <v>3</v>
      </c>
    </row>
    <row r="25" spans="4:11" x14ac:dyDescent="0.25">
      <c r="D25" s="4" t="s">
        <v>26</v>
      </c>
      <c r="E25" s="1">
        <v>13</v>
      </c>
      <c r="G25" s="4" t="s">
        <v>26</v>
      </c>
      <c r="H25" s="2">
        <v>37</v>
      </c>
      <c r="J25" s="4" t="s">
        <v>26</v>
      </c>
      <c r="K25" s="2">
        <v>5.666666666666667</v>
      </c>
    </row>
    <row r="26" spans="4:11" x14ac:dyDescent="0.25">
      <c r="D26" s="4" t="s">
        <v>27</v>
      </c>
      <c r="E26" s="1">
        <v>19</v>
      </c>
      <c r="G26" s="4" t="s">
        <v>27</v>
      </c>
      <c r="H26" s="2">
        <v>33</v>
      </c>
      <c r="J26" s="4" t="s">
        <v>27</v>
      </c>
      <c r="K26" s="2">
        <v>5.5</v>
      </c>
    </row>
    <row r="27" spans="4:11" x14ac:dyDescent="0.25">
      <c r="D27" s="4" t="s">
        <v>28</v>
      </c>
      <c r="E27" s="1">
        <v>15</v>
      </c>
      <c r="G27" s="4" t="s">
        <v>28</v>
      </c>
      <c r="H27" s="2">
        <v>33.333333333333336</v>
      </c>
      <c r="J27" s="4" t="s">
        <v>28</v>
      </c>
      <c r="K27" s="2">
        <v>5.2</v>
      </c>
    </row>
    <row r="28" spans="4:11" x14ac:dyDescent="0.25">
      <c r="D28" s="4" t="s">
        <v>29</v>
      </c>
      <c r="E28" s="1">
        <v>18</v>
      </c>
      <c r="G28" s="4" t="s">
        <v>29</v>
      </c>
      <c r="H28" s="2">
        <v>36.944444444444443</v>
      </c>
      <c r="J28" s="4" t="s">
        <v>29</v>
      </c>
      <c r="K28" s="2">
        <v>4</v>
      </c>
    </row>
    <row r="29" spans="4:11" x14ac:dyDescent="0.25">
      <c r="D29" s="4" t="s">
        <v>30</v>
      </c>
      <c r="E29" s="1">
        <v>14</v>
      </c>
      <c r="G29" s="4" t="s">
        <v>30</v>
      </c>
      <c r="H29" s="2">
        <v>34.357142857142854</v>
      </c>
      <c r="J29" s="4" t="s">
        <v>30</v>
      </c>
      <c r="K29" s="2">
        <v>4.75</v>
      </c>
    </row>
    <row r="30" spans="4:11" x14ac:dyDescent="0.25">
      <c r="D30" s="4" t="s">
        <v>31</v>
      </c>
      <c r="E30" s="1">
        <v>16</v>
      </c>
      <c r="G30" s="4" t="s">
        <v>31</v>
      </c>
      <c r="H30" s="2">
        <v>39</v>
      </c>
      <c r="J30" s="4" t="s">
        <v>31</v>
      </c>
      <c r="K30" s="2">
        <v>4.75</v>
      </c>
    </row>
    <row r="31" spans="4:11" x14ac:dyDescent="0.25">
      <c r="D31" s="4" t="s">
        <v>32</v>
      </c>
      <c r="E31" s="1">
        <v>13</v>
      </c>
      <c r="G31" s="4" t="s">
        <v>32</v>
      </c>
      <c r="H31" s="2">
        <v>32</v>
      </c>
      <c r="J31" s="4" t="s">
        <v>32</v>
      </c>
      <c r="K31" s="2">
        <v>6.5</v>
      </c>
    </row>
    <row r="32" spans="4:11" x14ac:dyDescent="0.25">
      <c r="D32" s="4" t="s">
        <v>33</v>
      </c>
      <c r="E32" s="1">
        <v>12</v>
      </c>
      <c r="G32" s="4" t="s">
        <v>33</v>
      </c>
      <c r="H32" s="2">
        <v>33.5</v>
      </c>
      <c r="J32" s="4" t="s">
        <v>33</v>
      </c>
      <c r="K32" s="2">
        <v>5</v>
      </c>
    </row>
    <row r="33" spans="1:11" x14ac:dyDescent="0.25">
      <c r="D33" s="4" t="s">
        <v>34</v>
      </c>
      <c r="E33" s="1">
        <v>19</v>
      </c>
      <c r="G33" s="4" t="s">
        <v>34</v>
      </c>
      <c r="H33" s="2">
        <v>37.89473684210526</v>
      </c>
      <c r="J33" s="4" t="s">
        <v>34</v>
      </c>
      <c r="K33" s="2">
        <v>6.333333333333333</v>
      </c>
    </row>
    <row r="34" spans="1:11" x14ac:dyDescent="0.25">
      <c r="D34" s="4" t="s">
        <v>35</v>
      </c>
      <c r="E34" s="1">
        <v>19</v>
      </c>
      <c r="G34" s="4" t="s">
        <v>35</v>
      </c>
      <c r="H34" s="2">
        <v>32</v>
      </c>
      <c r="J34" s="4" t="s">
        <v>35</v>
      </c>
      <c r="K34" s="2">
        <v>6</v>
      </c>
    </row>
    <row r="35" spans="1:11" x14ac:dyDescent="0.25">
      <c r="D35" s="4" t="s">
        <v>36</v>
      </c>
      <c r="E35" s="1">
        <v>15</v>
      </c>
      <c r="G35" s="4" t="s">
        <v>36</v>
      </c>
      <c r="H35" s="2">
        <v>35.133333333333333</v>
      </c>
      <c r="J35" s="4" t="s">
        <v>36</v>
      </c>
      <c r="K35" s="2">
        <v>8.1666666666666661</v>
      </c>
    </row>
    <row r="36" spans="1:11" x14ac:dyDescent="0.25">
      <c r="D36" s="4" t="s">
        <v>4</v>
      </c>
      <c r="E36" s="1">
        <v>464</v>
      </c>
      <c r="G36" s="4" t="s">
        <v>4</v>
      </c>
      <c r="H36" s="1">
        <v>34.719827586206897</v>
      </c>
      <c r="J36" s="4" t="s">
        <v>4</v>
      </c>
      <c r="K36" s="1">
        <v>4.9913043478260866</v>
      </c>
    </row>
    <row r="39" spans="1:11" x14ac:dyDescent="0.25">
      <c r="A39" s="3" t="s">
        <v>3</v>
      </c>
      <c r="B39" t="s">
        <v>39</v>
      </c>
      <c r="C39" t="s">
        <v>40</v>
      </c>
    </row>
    <row r="40" spans="1:11" x14ac:dyDescent="0.25">
      <c r="A40" s="4" t="s">
        <v>37</v>
      </c>
      <c r="B40" s="1">
        <v>236</v>
      </c>
      <c r="C40" s="6">
        <v>0.50862068965517238</v>
      </c>
    </row>
    <row r="41" spans="1:11" x14ac:dyDescent="0.25">
      <c r="A41" s="4" t="s">
        <v>38</v>
      </c>
      <c r="B41" s="1">
        <v>228</v>
      </c>
      <c r="C41" s="6">
        <v>0.49137931034482757</v>
      </c>
    </row>
    <row r="42" spans="1:11" x14ac:dyDescent="0.25">
      <c r="A42" s="4" t="s">
        <v>4</v>
      </c>
      <c r="B42" s="1">
        <v>464</v>
      </c>
      <c r="C42" s="6">
        <v>1</v>
      </c>
    </row>
    <row r="44" spans="1:11" x14ac:dyDescent="0.25">
      <c r="A44" s="4" t="s">
        <v>41</v>
      </c>
      <c r="B44" t="s">
        <v>42</v>
      </c>
      <c r="C44" t="s">
        <v>43</v>
      </c>
    </row>
    <row r="45" spans="1:11" s="7" customFormat="1" ht="30.75" customHeight="1" x14ac:dyDescent="0.25">
      <c r="A45" s="9" t="str">
        <f>A41</f>
        <v>Not Admitted</v>
      </c>
      <c r="B45" s="9">
        <f>B41</f>
        <v>228</v>
      </c>
      <c r="C45" s="10">
        <f>C41</f>
        <v>0.49137931034482757</v>
      </c>
      <c r="D45"/>
      <c r="E45"/>
      <c r="G45"/>
      <c r="H45"/>
      <c r="J45"/>
      <c r="K45"/>
    </row>
    <row r="46" spans="1:11" s="7" customFormat="1" ht="30.75" customHeight="1" x14ac:dyDescent="0.25">
      <c r="A46" s="9" t="str">
        <f>A40</f>
        <v>Admitted</v>
      </c>
      <c r="B46" s="9">
        <f t="shared" ref="B46:C46" si="0">B40</f>
        <v>236</v>
      </c>
      <c r="C46" s="10">
        <f t="shared" si="0"/>
        <v>0.50862068965517238</v>
      </c>
      <c r="D46"/>
      <c r="E46"/>
      <c r="G46"/>
      <c r="H46"/>
      <c r="J46"/>
      <c r="K46"/>
    </row>
    <row r="49" spans="1:2" x14ac:dyDescent="0.25">
      <c r="A49" s="3" t="s">
        <v>3</v>
      </c>
      <c r="B49" t="s">
        <v>52</v>
      </c>
    </row>
    <row r="50" spans="1:2" x14ac:dyDescent="0.25">
      <c r="A50" s="4" t="s">
        <v>44</v>
      </c>
      <c r="B50" s="8">
        <v>61</v>
      </c>
    </row>
    <row r="51" spans="1:2" x14ac:dyDescent="0.25">
      <c r="A51" s="4" t="s">
        <v>45</v>
      </c>
      <c r="B51" s="8">
        <v>53</v>
      </c>
    </row>
    <row r="52" spans="1:2" x14ac:dyDescent="0.25">
      <c r="A52" s="4" t="s">
        <v>46</v>
      </c>
      <c r="B52" s="8">
        <v>71</v>
      </c>
    </row>
    <row r="53" spans="1:2" x14ac:dyDescent="0.25">
      <c r="A53" s="4" t="s">
        <v>47</v>
      </c>
      <c r="B53" s="8">
        <v>59</v>
      </c>
    </row>
    <row r="54" spans="1:2" x14ac:dyDescent="0.25">
      <c r="A54" s="4" t="s">
        <v>48</v>
      </c>
      <c r="B54" s="8">
        <v>63</v>
      </c>
    </row>
    <row r="55" spans="1:2" x14ac:dyDescent="0.25">
      <c r="A55" s="4" t="s">
        <v>49</v>
      </c>
      <c r="B55" s="8">
        <v>63</v>
      </c>
    </row>
    <row r="56" spans="1:2" x14ac:dyDescent="0.25">
      <c r="A56" s="4" t="s">
        <v>50</v>
      </c>
      <c r="B56" s="8">
        <v>37</v>
      </c>
    </row>
    <row r="57" spans="1:2" x14ac:dyDescent="0.25">
      <c r="A57" s="4" t="s">
        <v>51</v>
      </c>
      <c r="B57" s="8">
        <v>57</v>
      </c>
    </row>
    <row r="58" spans="1:2" x14ac:dyDescent="0.25">
      <c r="A58" s="4" t="s">
        <v>4</v>
      </c>
      <c r="B58" s="2">
        <v>464</v>
      </c>
    </row>
    <row r="61" spans="1:2" x14ac:dyDescent="0.25">
      <c r="A61" s="3" t="s">
        <v>3</v>
      </c>
      <c r="B61" t="s">
        <v>0</v>
      </c>
    </row>
    <row r="62" spans="1:2" x14ac:dyDescent="0.25">
      <c r="A62" s="4" t="s">
        <v>59</v>
      </c>
      <c r="B62" s="2">
        <v>3</v>
      </c>
    </row>
    <row r="63" spans="1:2" x14ac:dyDescent="0.25">
      <c r="A63" s="4" t="s">
        <v>58</v>
      </c>
      <c r="B63" s="2">
        <v>8</v>
      </c>
    </row>
    <row r="64" spans="1:2" x14ac:dyDescent="0.25">
      <c r="A64" s="4" t="s">
        <v>55</v>
      </c>
      <c r="B64" s="2">
        <v>9</v>
      </c>
    </row>
    <row r="65" spans="1:2" x14ac:dyDescent="0.25">
      <c r="A65" s="4" t="s">
        <v>57</v>
      </c>
      <c r="B65" s="2">
        <v>11</v>
      </c>
    </row>
    <row r="66" spans="1:2" x14ac:dyDescent="0.25">
      <c r="A66" s="4" t="s">
        <v>60</v>
      </c>
      <c r="B66" s="2">
        <v>12</v>
      </c>
    </row>
    <row r="67" spans="1:2" x14ac:dyDescent="0.25">
      <c r="A67" s="4" t="s">
        <v>56</v>
      </c>
      <c r="B67" s="2">
        <v>54</v>
      </c>
    </row>
    <row r="68" spans="1:2" x14ac:dyDescent="0.25">
      <c r="A68" s="4" t="s">
        <v>54</v>
      </c>
      <c r="B68" s="2">
        <v>87</v>
      </c>
    </row>
    <row r="69" spans="1:2" x14ac:dyDescent="0.25">
      <c r="A69" s="4" t="s">
        <v>53</v>
      </c>
      <c r="B69" s="2">
        <v>280</v>
      </c>
    </row>
    <row r="70" spans="1:2" x14ac:dyDescent="0.25">
      <c r="A70" s="4" t="s">
        <v>4</v>
      </c>
      <c r="B70" s="2">
        <v>464</v>
      </c>
    </row>
    <row r="73" spans="1:2" x14ac:dyDescent="0.25">
      <c r="A73" s="3" t="s">
        <v>3</v>
      </c>
      <c r="B73" t="s">
        <v>63</v>
      </c>
    </row>
    <row r="74" spans="1:2" x14ac:dyDescent="0.25">
      <c r="A74" s="4" t="s">
        <v>61</v>
      </c>
      <c r="B74" s="2">
        <v>267</v>
      </c>
    </row>
    <row r="75" spans="1:2" x14ac:dyDescent="0.25">
      <c r="A75" s="4" t="s">
        <v>62</v>
      </c>
      <c r="B75" s="2">
        <v>197</v>
      </c>
    </row>
    <row r="76" spans="1:2" x14ac:dyDescent="0.25">
      <c r="A76" s="4" t="s">
        <v>4</v>
      </c>
      <c r="B76" s="2">
        <v>464</v>
      </c>
    </row>
    <row r="79" spans="1:2" x14ac:dyDescent="0.25">
      <c r="A79" s="3" t="s">
        <v>3</v>
      </c>
      <c r="B79" t="s">
        <v>66</v>
      </c>
    </row>
    <row r="80" spans="1:2" x14ac:dyDescent="0.25">
      <c r="A80" s="4" t="s">
        <v>64</v>
      </c>
      <c r="B80" s="2">
        <v>228</v>
      </c>
    </row>
    <row r="81" spans="1:2" x14ac:dyDescent="0.25">
      <c r="A81" s="4" t="s">
        <v>65</v>
      </c>
      <c r="B81" s="2">
        <v>236</v>
      </c>
    </row>
    <row r="82" spans="1:2" x14ac:dyDescent="0.25">
      <c r="A82" s="4" t="s">
        <v>4</v>
      </c>
      <c r="B82" s="2">
        <v>464</v>
      </c>
    </row>
    <row r="85" spans="1:2" x14ac:dyDescent="0.25">
      <c r="A85" s="3" t="s">
        <v>3</v>
      </c>
    </row>
    <row r="86" spans="1:2" x14ac:dyDescent="0.25">
      <c r="A86" s="4" t="s">
        <v>5</v>
      </c>
    </row>
    <row r="87" spans="1:2" x14ac:dyDescent="0.25">
      <c r="A87" s="4"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DB63-925E-4E21-8612-2622FD493444}">
  <dimension ref="A1:AG56"/>
  <sheetViews>
    <sheetView tabSelected="1" zoomScale="115" zoomScaleNormal="115" workbookViewId="0"/>
  </sheetViews>
  <sheetFormatPr defaultRowHeight="15" x14ac:dyDescent="0.25"/>
  <sheetData>
    <row r="1" spans="1:33"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spans="1:33"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3"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33"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3"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3"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3"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4244-5C38-4929-8656-D95099B3A240}">
  <dimension ref="A1:AI55"/>
  <sheetViews>
    <sheetView workbookViewId="0"/>
  </sheetViews>
  <sheetFormatPr defaultRowHeight="15" x14ac:dyDescent="0.25"/>
  <sheetData>
    <row r="1" spans="1:35"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35"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row r="5" spans="1:35"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row>
    <row r="6" spans="1:35"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row>
    <row r="7" spans="1:35"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row>
    <row r="8" spans="1:35"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row>
    <row r="9" spans="1:35"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row>
    <row r="10" spans="1:35"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row>
    <row r="11" spans="1:35"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row>
    <row r="12" spans="1:35"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row>
    <row r="13" spans="1:35"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row>
    <row r="14" spans="1:35"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row>
    <row r="15" spans="1:35"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spans="1:35"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spans="1:35"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spans="1:35"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row>
    <row r="20" spans="1:35"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row>
    <row r="21" spans="1:35"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row>
    <row r="23" spans="1:35"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row>
    <row r="24" spans="1:35"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row>
    <row r="25" spans="1:35"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row>
    <row r="26" spans="1:35"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row>
    <row r="27" spans="1:35"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row>
    <row r="28" spans="1:35"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row>
    <row r="29" spans="1:35"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row>
    <row r="30" spans="1:35"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row>
    <row r="31" spans="1:35"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row>
    <row r="32" spans="1:35"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row>
    <row r="33" spans="1:35"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row>
    <row r="34" spans="1:35"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row>
    <row r="35" spans="1:35"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row>
    <row r="36" spans="1:35"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row>
    <row r="37" spans="1:35"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row>
    <row r="38" spans="1:35"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row>
    <row r="39" spans="1:35"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row>
    <row r="40" spans="1:35"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row>
    <row r="41" spans="1:35"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row>
    <row r="42" spans="1:35"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row>
    <row r="43" spans="1:35"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row>
    <row r="44" spans="1:35"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row>
    <row r="45" spans="1:35"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row>
    <row r="46" spans="1:35"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row>
    <row r="47" spans="1:35"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row>
    <row r="48" spans="1:35"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row>
    <row r="49" spans="1:35"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row>
    <row r="52" spans="1:35"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row>
    <row r="53" spans="1:35"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row>
    <row r="54" spans="1:35"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row>
    <row r="55" spans="1:35"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51B8-4BD6-4C0C-B164-B01E99A39CEA}">
  <dimension ref="A1:AH55"/>
  <sheetViews>
    <sheetView workbookViewId="0"/>
  </sheetViews>
  <sheetFormatPr defaultRowHeight="15" x14ac:dyDescent="0.25"/>
  <sheetData>
    <row r="1" spans="1:34"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pans="1:34"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spans="1:34"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spans="1:34"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spans="1:34"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spans="1:34"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spans="1:34"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spans="1:34"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spans="1:34"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spans="1:34"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spans="1:34"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spans="1:34"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spans="1:34"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spans="1:34"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spans="1:34"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spans="1:34"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1:34"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1:34"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1:34"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1:34"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1:34"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1:34"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1:34"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spans="1:34"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spans="1:34"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spans="1:34"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1:34"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spans="1:34"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spans="1:34"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spans="1:34"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spans="1:34"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1:34"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1:34"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12BB-7028-4687-89B1-1A3CCA0CB2E6}">
  <dimension ref="A1:AI55"/>
  <sheetViews>
    <sheetView workbookViewId="0">
      <selection activeCell="AH53" sqref="AH53"/>
    </sheetView>
  </sheetViews>
  <sheetFormatPr defaultRowHeight="15" x14ac:dyDescent="0.25"/>
  <sheetData>
    <row r="1" spans="1:35"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35"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row r="5" spans="1:35"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row>
    <row r="6" spans="1:35"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row>
    <row r="7" spans="1:35"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row>
    <row r="8" spans="1:35"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row>
    <row r="9" spans="1:35"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row>
    <row r="10" spans="1:35"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row>
    <row r="11" spans="1:35"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row>
    <row r="12" spans="1:35"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row>
    <row r="13" spans="1:35"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row>
    <row r="14" spans="1:35"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row>
    <row r="15" spans="1:35"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spans="1:35"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spans="1:35"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spans="1:35"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row>
    <row r="20" spans="1:35"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row>
    <row r="21" spans="1:35"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row>
    <row r="23" spans="1:35"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row>
    <row r="24" spans="1:35"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row>
    <row r="25" spans="1:35"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row>
    <row r="26" spans="1:35"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row>
    <row r="27" spans="1:35"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row>
    <row r="28" spans="1:35"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row>
    <row r="29" spans="1:35"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row>
    <row r="30" spans="1:35"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row>
    <row r="31" spans="1:35"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row>
    <row r="32" spans="1:35"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row>
    <row r="33" spans="1:35"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row>
    <row r="34" spans="1:35"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row>
    <row r="35" spans="1:35"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row>
    <row r="36" spans="1:35"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row>
    <row r="37" spans="1:35"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row>
    <row r="38" spans="1:35"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row>
    <row r="39" spans="1:35"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row>
    <row r="40" spans="1:35"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row>
    <row r="41" spans="1:35"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row>
    <row r="42" spans="1:35"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row>
    <row r="43" spans="1:35"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row>
    <row r="44" spans="1:35"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row>
    <row r="45" spans="1:35"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row>
    <row r="46" spans="1:35"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row>
    <row r="47" spans="1:35"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row>
    <row r="48" spans="1:35"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row>
    <row r="49" spans="1:35"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row>
    <row r="52" spans="1:35"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row>
    <row r="53" spans="1:35"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row>
    <row r="54" spans="1:35"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row>
    <row r="55" spans="1:35"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BF13FB9-698B-4125-9302-6C4F089BC4A1}">
  <ds:schemaRefs/>
</ds:datastoreItem>
</file>

<file path=customXml/itemProps2.xml><?xml version="1.0" encoding="utf-8"?>
<ds:datastoreItem xmlns:ds="http://schemas.openxmlformats.org/officeDocument/2006/customXml" ds:itemID="{0A96E376-E518-4935-9830-DB46B3DDFFE9}">
  <ds:schemaRefs/>
</ds:datastoreItem>
</file>

<file path=customXml/itemProps3.xml><?xml version="1.0" encoding="utf-8"?>
<ds:datastoreItem xmlns:ds="http://schemas.openxmlformats.org/officeDocument/2006/customXml" ds:itemID="{81AA1692-6447-4DC4-BC64-01D44DF6AC0B}">
  <ds:schemaRefs/>
</ds:datastoreItem>
</file>

<file path=customXml/itemProps4.xml><?xml version="1.0" encoding="utf-8"?>
<ds:datastoreItem xmlns:ds="http://schemas.openxmlformats.org/officeDocument/2006/customXml" ds:itemID="{252F6931-4AAA-444E-AF3A-3431E4E1D5AA}">
  <ds:schemaRefs/>
</ds:datastoreItem>
</file>

<file path=customXml/itemProps5.xml><?xml version="1.0" encoding="utf-8"?>
<ds:datastoreItem xmlns:ds="http://schemas.openxmlformats.org/officeDocument/2006/customXml" ds:itemID="{D7273A16-E9F6-4235-A5A8-CA6748F4ACBA}">
  <ds:schemaRefs/>
</ds:datastoreItem>
</file>

<file path=customXml/itemProps6.xml><?xml version="1.0" encoding="utf-8"?>
<ds:datastoreItem xmlns:ds="http://schemas.openxmlformats.org/officeDocument/2006/customXml" ds:itemID="{6D384144-C4E8-4E8D-8A9A-C2C9C5B683C3}">
  <ds:schemaRefs/>
</ds:datastoreItem>
</file>

<file path=customXml/itemProps7.xml><?xml version="1.0" encoding="utf-8"?>
<ds:datastoreItem xmlns:ds="http://schemas.openxmlformats.org/officeDocument/2006/customXml" ds:itemID="{25ACE74D-3E85-45D4-BA77-FB8FD4FD09D7}">
  <ds:schemaRefs/>
</ds:datastoreItem>
</file>

<file path=customXml/itemProps8.xml><?xml version="1.0" encoding="utf-8"?>
<ds:datastoreItem xmlns:ds="http://schemas.openxmlformats.org/officeDocument/2006/customXml" ds:itemID="{97BB7E03-B393-40DF-A146-BDEB36C0F179}">
  <ds:schemaRefs/>
</ds:datastoreItem>
</file>

<file path=customXml/itemProps9.xml><?xml version="1.0" encoding="utf-8"?>
<ds:datastoreItem xmlns:ds="http://schemas.openxmlformats.org/officeDocument/2006/customXml" ds:itemID="{ED716C0E-59A1-454B-809A-86B3A6A1EA33}">
  <ds:schemaRefs/>
</ds:datastoreItem>
</file>

<file path=customXml/itemProps10.xml><?xml version="1.0" encoding="utf-8"?>
<ds:datastoreItem xmlns:ds="http://schemas.openxmlformats.org/officeDocument/2006/customXml" ds:itemID="{70324A8B-BD05-42E2-A17C-DC83D24372FB}">
  <ds:schemaRefs/>
</ds:datastoreItem>
</file>

<file path=customXml/itemProps11.xml><?xml version="1.0" encoding="utf-8"?>
<ds:datastoreItem xmlns:ds="http://schemas.openxmlformats.org/officeDocument/2006/customXml" ds:itemID="{FAA910A6-0F90-4A18-B80C-F0BCFAB10E09}">
  <ds:schemaRefs/>
</ds:datastoreItem>
</file>

<file path=customXml/itemProps12.xml><?xml version="1.0" encoding="utf-8"?>
<ds:datastoreItem xmlns:ds="http://schemas.openxmlformats.org/officeDocument/2006/customXml" ds:itemID="{4B30FF85-55AE-4806-A21A-5CCB1301C12F}">
  <ds:schemaRefs>
    <ds:schemaRef ds:uri="http://schemas.microsoft.com/DataMashup"/>
  </ds:schemaRefs>
</ds:datastoreItem>
</file>

<file path=customXml/itemProps13.xml><?xml version="1.0" encoding="utf-8"?>
<ds:datastoreItem xmlns:ds="http://schemas.openxmlformats.org/officeDocument/2006/customXml" ds:itemID="{7302782A-24E3-4E38-A911-E9BDAF4DE427}">
  <ds:schemaRefs/>
</ds:datastoreItem>
</file>

<file path=customXml/itemProps14.xml><?xml version="1.0" encoding="utf-8"?>
<ds:datastoreItem xmlns:ds="http://schemas.openxmlformats.org/officeDocument/2006/customXml" ds:itemID="{9BD6FC15-EBC4-4938-B1B2-540E0CEFCC38}">
  <ds:schemaRefs/>
</ds:datastoreItem>
</file>

<file path=customXml/itemProps15.xml><?xml version="1.0" encoding="utf-8"?>
<ds:datastoreItem xmlns:ds="http://schemas.openxmlformats.org/officeDocument/2006/customXml" ds:itemID="{D900E4C5-175C-475C-88A7-4CA103090B10}">
  <ds:schemaRefs/>
</ds:datastoreItem>
</file>

<file path=customXml/itemProps16.xml><?xml version="1.0" encoding="utf-8"?>
<ds:datastoreItem xmlns:ds="http://schemas.openxmlformats.org/officeDocument/2006/customXml" ds:itemID="{44B57CC0-C3B3-4EDD-BA95-F6835C3F3768}">
  <ds:schemaRefs/>
</ds:datastoreItem>
</file>

<file path=customXml/itemProps17.xml><?xml version="1.0" encoding="utf-8"?>
<ds:datastoreItem xmlns:ds="http://schemas.openxmlformats.org/officeDocument/2006/customXml" ds:itemID="{0EA105EE-4242-4CF8-8E2B-EEF13BE5DB51}">
  <ds:schemaRefs/>
</ds:datastoreItem>
</file>

<file path=customXml/itemProps18.xml><?xml version="1.0" encoding="utf-8"?>
<ds:datastoreItem xmlns:ds="http://schemas.openxmlformats.org/officeDocument/2006/customXml" ds:itemID="{FF1323AF-B3BD-44CA-BD9E-400FB84935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Satisfaction Score</vt:lpstr>
      <vt:lpstr>Daily Patient Admission Analysi</vt:lpstr>
      <vt:lpstr>Avg Wait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Connect2Aryans</dc:creator>
  <cp:lastModifiedBy>Connect2Aryans</cp:lastModifiedBy>
  <dcterms:created xsi:type="dcterms:W3CDTF">2026-06-30T18:54:02Z</dcterms:created>
  <dcterms:modified xsi:type="dcterms:W3CDTF">2026-07-01T14:11:36Z</dcterms:modified>
</cp:coreProperties>
</file>